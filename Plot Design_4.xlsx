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118e5de238cf6b/UF/Projects/Strawberry Water use/Project Design/"/>
    </mc:Choice>
  </mc:AlternateContent>
  <xr:revisionPtr revIDLastSave="59" documentId="8_{34B9F58F-C949-4AAE-B20C-B467C48484A4}" xr6:coauthVersionLast="47" xr6:coauthVersionMax="47" xr10:uidLastSave="{2966C5DD-C445-49AD-82E6-A8BF153276C2}"/>
  <bookViews>
    <workbookView xWindow="25490" yWindow="-110" windowWidth="25820" windowHeight="14020" xr2:uid="{00000000-000D-0000-FFFF-FFFF00000000}"/>
  </bookViews>
  <sheets>
    <sheet name="Plot Design" sheetId="1" r:id="rId1"/>
    <sheet name="Sprinkler Specification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3" l="1"/>
  <c r="O28" i="3"/>
  <c r="O27" i="3"/>
  <c r="O26" i="3"/>
  <c r="O25" i="3"/>
  <c r="O24" i="3"/>
  <c r="V85" i="1"/>
  <c r="N7" i="2"/>
  <c r="L12" i="3"/>
  <c r="D13" i="3"/>
  <c r="C12" i="2"/>
</calcChain>
</file>

<file path=xl/sharedStrings.xml><?xml version="1.0" encoding="utf-8"?>
<sst xmlns="http://schemas.openxmlformats.org/spreadsheetml/2006/main" count="287" uniqueCount="36">
  <si>
    <t>x</t>
  </si>
  <si>
    <t>282 ft</t>
  </si>
  <si>
    <t>Senninger Xcel Wobbler (30x 30)</t>
  </si>
  <si>
    <t>Impact Sprinkler (40 x 40)</t>
  </si>
  <si>
    <t>Netafim SuperNet (15 x 12)</t>
  </si>
  <si>
    <t>Senninger Mini-Wobbler (20 x 18)</t>
  </si>
  <si>
    <t>Jain Mini-Revolver (25 x 18)</t>
  </si>
  <si>
    <t>Flow Meter</t>
  </si>
  <si>
    <t>Pressure Gauge</t>
  </si>
  <si>
    <t>Planted Area  (30 ft - 3 beds)</t>
  </si>
  <si>
    <t>Sprinkler Specifications</t>
  </si>
  <si>
    <t>Main pipe Diameter</t>
  </si>
  <si>
    <t>1-inch</t>
  </si>
  <si>
    <t>Lateral pipe Diamater</t>
  </si>
  <si>
    <t>Jain Mini-Revolver</t>
  </si>
  <si>
    <t>Senninger Mini-Wobbler</t>
  </si>
  <si>
    <t>Sprinkler</t>
  </si>
  <si>
    <t>Head Spacing  (ft)</t>
  </si>
  <si>
    <t>CU</t>
  </si>
  <si>
    <t>DU</t>
  </si>
  <si>
    <t>SC</t>
  </si>
  <si>
    <t>Average App Rate (in/hr)</t>
  </si>
  <si>
    <t>Flow (GMP)</t>
  </si>
  <si>
    <t>Working Pressure (psi)</t>
  </si>
  <si>
    <t>25 x 18</t>
  </si>
  <si>
    <t>20 x 18</t>
  </si>
  <si>
    <t>Netafim SuperNet</t>
  </si>
  <si>
    <t>15 x 12</t>
  </si>
  <si>
    <t>Senninger Xcel Wobbler</t>
  </si>
  <si>
    <t>30 x 30</t>
  </si>
  <si>
    <t>Average Application Rate (in/hr)</t>
  </si>
  <si>
    <t>Impact Sprinkler</t>
  </si>
  <si>
    <t>40 x 40</t>
  </si>
  <si>
    <t>GMP</t>
  </si>
  <si>
    <t>Sprinkler specifications</t>
  </si>
  <si>
    <t>J+C7:G26ain Mini-Revolver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</si>
</sst>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7" tint="0.59999389629810485"/>
      </patternFill>
    </fill>
    <fill>
      <patternFill patternType="solid">
        <fgColor theme="8" tint="0.79998168889431442"/>
        <bgColor indexed="64"/>
      </patternFill>
    </fill>
    <fill>
      <patternFill patternType="lightUp">
        <bgColor theme="8" tint="0.79998168889431442"/>
      </patternFill>
    </fill>
    <fill>
      <patternFill patternType="solid">
        <fgColor theme="5" tint="0.39997558519241921"/>
        <bgColor indexed="64"/>
      </patternFill>
    </fill>
    <fill>
      <patternFill patternType="lightUp">
        <bgColor theme="5" tint="0.39997558519241921"/>
      </patternFill>
    </fill>
    <fill>
      <patternFill patternType="solid">
        <fgColor theme="6" tint="0.39997558519241921"/>
        <bgColor indexed="64"/>
      </patternFill>
    </fill>
    <fill>
      <patternFill patternType="lightUp">
        <bgColor theme="6" tint="0.39997558519241921"/>
      </patternFill>
    </fill>
    <fill>
      <patternFill patternType="solid">
        <fgColor theme="9" tint="0.39997558519241921"/>
        <bgColor indexed="64"/>
      </patternFill>
    </fill>
    <fill>
      <patternFill patternType="lightUp">
        <bgColor theme="9" tint="0.39997558519241921"/>
      </patternFill>
    </fill>
    <fill>
      <patternFill patternType="darkUp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/>
    <xf numFmtId="0" fontId="4" fillId="5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11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9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4" borderId="2" xfId="0" applyFont="1" applyFill="1" applyBorder="1"/>
    <xf numFmtId="0" fontId="4" fillId="2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13" borderId="0" xfId="0" applyFont="1" applyFill="1"/>
    <xf numFmtId="0" fontId="3" fillId="0" borderId="0" xfId="0" applyFont="1" applyAlignment="1">
      <alignment vertical="center"/>
    </xf>
    <xf numFmtId="0" fontId="1" fillId="0" borderId="2" xfId="0" applyFont="1" applyBorder="1"/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6" fillId="0" borderId="0" xfId="0" applyFont="1"/>
    <xf numFmtId="0" fontId="2" fillId="0" borderId="5" xfId="0" applyFont="1" applyBorder="1"/>
    <xf numFmtId="0" fontId="2" fillId="0" borderId="2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4" fillId="3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microsoft.com/office/2007/relationships/hdphoto" Target="../media/hdphoto1.wdp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microsoft.com/office/2007/relationships/hdphoto" Target="../media/hdphoto4.wdp"/><Relationship Id="rId5" Type="http://schemas.microsoft.com/office/2007/relationships/hdphoto" Target="../media/hdphoto2.wdp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393101</xdr:colOff>
      <xdr:row>3</xdr:row>
      <xdr:rowOff>89858</xdr:rowOff>
    </xdr:from>
    <xdr:to>
      <xdr:col>3</xdr:col>
      <xdr:colOff>790</xdr:colOff>
      <xdr:row>18</xdr:row>
      <xdr:rowOff>8985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0E7ABA5-0C81-4324-8106-6E07390D3E65}"/>
            </a:ext>
          </a:extLst>
        </xdr:cNvPr>
        <xdr:cNvGrpSpPr/>
      </xdr:nvGrpSpPr>
      <xdr:grpSpPr>
        <a:xfrm>
          <a:off x="1869476" y="623258"/>
          <a:ext cx="188714" cy="1090702"/>
          <a:chOff x="1270000" y="749300"/>
          <a:chExt cx="191769" cy="1160715"/>
        </a:xfrm>
      </xdr:grpSpPr>
      <xdr:sp macro="" textlink="">
        <xdr:nvSpPr>
          <xdr:cNvPr id="4" name="Cylinder 3">
            <a:extLst>
              <a:ext uri="{FF2B5EF4-FFF2-40B4-BE49-F238E27FC236}">
                <a16:creationId xmlns:a16="http://schemas.microsoft.com/office/drawing/2014/main" id="{37FE89A0-8DFF-4660-BA22-9A3F3EA539A4}"/>
              </a:ext>
            </a:extLst>
          </xdr:cNvPr>
          <xdr:cNvSpPr/>
        </xdr:nvSpPr>
        <xdr:spPr>
          <a:xfrm>
            <a:off x="1416050" y="749300"/>
            <a:ext cx="45719" cy="1160715"/>
          </a:xfrm>
          <a:prstGeom prst="ca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ylinder 4">
            <a:extLst>
              <a:ext uri="{FF2B5EF4-FFF2-40B4-BE49-F238E27FC236}">
                <a16:creationId xmlns:a16="http://schemas.microsoft.com/office/drawing/2014/main" id="{3DB0380A-2147-4F4F-A7A8-99FFAC490A15}"/>
              </a:ext>
            </a:extLst>
          </xdr:cNvPr>
          <xdr:cNvSpPr/>
        </xdr:nvSpPr>
        <xdr:spPr>
          <a:xfrm>
            <a:off x="1270000" y="749300"/>
            <a:ext cx="184150" cy="50800"/>
          </a:xfrm>
          <a:prstGeom prst="ca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245888</xdr:colOff>
      <xdr:row>3</xdr:row>
      <xdr:rowOff>50770</xdr:rowOff>
    </xdr:from>
    <xdr:to>
      <xdr:col>9</xdr:col>
      <xdr:colOff>291607</xdr:colOff>
      <xdr:row>18</xdr:row>
      <xdr:rowOff>42383</xdr:rowOff>
    </xdr:to>
    <xdr:sp macro="" textlink="">
      <xdr:nvSpPr>
        <xdr:cNvPr id="13" name="Cylinder 12">
          <a:extLst>
            <a:ext uri="{FF2B5EF4-FFF2-40B4-BE49-F238E27FC236}">
              <a16:creationId xmlns:a16="http://schemas.microsoft.com/office/drawing/2014/main" id="{0B0189B1-AB9F-44AC-A0E6-F771667BC7F1}"/>
            </a:ext>
          </a:extLst>
        </xdr:cNvPr>
        <xdr:cNvSpPr/>
      </xdr:nvSpPr>
      <xdr:spPr>
        <a:xfrm>
          <a:off x="4198763" y="622270"/>
          <a:ext cx="45719" cy="1170332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244911</xdr:colOff>
      <xdr:row>3</xdr:row>
      <xdr:rowOff>100752</xdr:rowOff>
    </xdr:from>
    <xdr:to>
      <xdr:col>16</xdr:col>
      <xdr:colOff>288108</xdr:colOff>
      <xdr:row>18</xdr:row>
      <xdr:rowOff>12701</xdr:rowOff>
    </xdr:to>
    <xdr:sp macro="" textlink="">
      <xdr:nvSpPr>
        <xdr:cNvPr id="14" name="Cylinder 13">
          <a:extLst>
            <a:ext uri="{FF2B5EF4-FFF2-40B4-BE49-F238E27FC236}">
              <a16:creationId xmlns:a16="http://schemas.microsoft.com/office/drawing/2014/main" id="{5813FFB8-0B4E-411F-A43D-42225CD326DF}"/>
            </a:ext>
          </a:extLst>
        </xdr:cNvPr>
        <xdr:cNvSpPr/>
      </xdr:nvSpPr>
      <xdr:spPr>
        <a:xfrm>
          <a:off x="6400218" y="666860"/>
          <a:ext cx="43197" cy="1098082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30865</xdr:colOff>
      <xdr:row>3</xdr:row>
      <xdr:rowOff>50322</xdr:rowOff>
    </xdr:from>
    <xdr:to>
      <xdr:col>30</xdr:col>
      <xdr:colOff>72418</xdr:colOff>
      <xdr:row>18</xdr:row>
      <xdr:rowOff>791</xdr:rowOff>
    </xdr:to>
    <xdr:sp macro="" textlink="">
      <xdr:nvSpPr>
        <xdr:cNvPr id="16" name="Cylinder 15">
          <a:extLst>
            <a:ext uri="{FF2B5EF4-FFF2-40B4-BE49-F238E27FC236}">
              <a16:creationId xmlns:a16="http://schemas.microsoft.com/office/drawing/2014/main" id="{7CCFF3AC-5E8A-4FDD-97BD-EDBC4FC852E4}"/>
            </a:ext>
          </a:extLst>
        </xdr:cNvPr>
        <xdr:cNvSpPr/>
      </xdr:nvSpPr>
      <xdr:spPr>
        <a:xfrm>
          <a:off x="10589238" y="616430"/>
          <a:ext cx="41553" cy="1136602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248729</xdr:colOff>
      <xdr:row>16</xdr:row>
      <xdr:rowOff>21686</xdr:rowOff>
    </xdr:from>
    <xdr:to>
      <xdr:col>23</xdr:col>
      <xdr:colOff>20129</xdr:colOff>
      <xdr:row>17</xdr:row>
      <xdr:rowOff>4031</xdr:rowOff>
    </xdr:to>
    <xdr:sp macro="" textlink="">
      <xdr:nvSpPr>
        <xdr:cNvPr id="24" name="Cylinder 23">
          <a:extLst>
            <a:ext uri="{FF2B5EF4-FFF2-40B4-BE49-F238E27FC236}">
              <a16:creationId xmlns:a16="http://schemas.microsoft.com/office/drawing/2014/main" id="{956FC72C-47B2-403E-87EF-38BD85538DFF}"/>
            </a:ext>
          </a:extLst>
        </xdr:cNvPr>
        <xdr:cNvSpPr/>
      </xdr:nvSpPr>
      <xdr:spPr>
        <a:xfrm>
          <a:off x="6404036" y="1630153"/>
          <a:ext cx="1972933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250428</xdr:colOff>
      <xdr:row>4</xdr:row>
      <xdr:rowOff>89693</xdr:rowOff>
    </xdr:from>
    <xdr:to>
      <xdr:col>23</xdr:col>
      <xdr:colOff>21828</xdr:colOff>
      <xdr:row>5</xdr:row>
      <xdr:rowOff>31</xdr:rowOff>
    </xdr:to>
    <xdr:sp macro="" textlink="">
      <xdr:nvSpPr>
        <xdr:cNvPr id="26" name="Cylinder 25">
          <a:extLst>
            <a:ext uri="{FF2B5EF4-FFF2-40B4-BE49-F238E27FC236}">
              <a16:creationId xmlns:a16="http://schemas.microsoft.com/office/drawing/2014/main" id="{49ABAE4B-EAB1-443C-8B36-392D0B997023}"/>
            </a:ext>
            <a:ext uri="{147F2762-F138-4A5C-976F-8EAC2B608ADB}">
              <a16:predDERef xmlns:a16="http://schemas.microsoft.com/office/drawing/2014/main" pred="{956FC72C-47B2-403E-87EF-38BD85538DFF}"/>
            </a:ext>
          </a:extLst>
        </xdr:cNvPr>
        <xdr:cNvSpPr/>
      </xdr:nvSpPr>
      <xdr:spPr>
        <a:xfrm>
          <a:off x="6394053" y="727868"/>
          <a:ext cx="1971675" cy="15113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240821</xdr:colOff>
      <xdr:row>10</xdr:row>
      <xdr:rowOff>24322</xdr:rowOff>
    </xdr:from>
    <xdr:to>
      <xdr:col>23</xdr:col>
      <xdr:colOff>12221</xdr:colOff>
      <xdr:row>11</xdr:row>
      <xdr:rowOff>6666</xdr:rowOff>
    </xdr:to>
    <xdr:sp macro="" textlink="">
      <xdr:nvSpPr>
        <xdr:cNvPr id="27" name="Cylinder 26">
          <a:extLst>
            <a:ext uri="{FF2B5EF4-FFF2-40B4-BE49-F238E27FC236}">
              <a16:creationId xmlns:a16="http://schemas.microsoft.com/office/drawing/2014/main" id="{9B58FAE1-85F4-48A9-9812-D68B0E4D56C9}"/>
            </a:ext>
          </a:extLst>
        </xdr:cNvPr>
        <xdr:cNvSpPr/>
      </xdr:nvSpPr>
      <xdr:spPr>
        <a:xfrm>
          <a:off x="6396128" y="1201468"/>
          <a:ext cx="1972933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249634</xdr:colOff>
      <xdr:row>16</xdr:row>
      <xdr:rowOff>18256</xdr:rowOff>
    </xdr:from>
    <xdr:to>
      <xdr:col>16</xdr:col>
      <xdr:colOff>21035</xdr:colOff>
      <xdr:row>17</xdr:row>
      <xdr:rowOff>825</xdr:rowOff>
    </xdr:to>
    <xdr:sp macro="" textlink="">
      <xdr:nvSpPr>
        <xdr:cNvPr id="28" name="Cylinder 27">
          <a:extLst>
            <a:ext uri="{FF2B5EF4-FFF2-40B4-BE49-F238E27FC236}">
              <a16:creationId xmlns:a16="http://schemas.microsoft.com/office/drawing/2014/main" id="{FA584320-CCE6-4FF9-B462-87EBE828857C}"/>
            </a:ext>
          </a:extLst>
        </xdr:cNvPr>
        <xdr:cNvSpPr/>
      </xdr:nvSpPr>
      <xdr:spPr>
        <a:xfrm>
          <a:off x="4202509" y="1625600"/>
          <a:ext cx="1980010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284671</xdr:colOff>
      <xdr:row>4</xdr:row>
      <xdr:rowOff>80872</xdr:rowOff>
    </xdr:from>
    <xdr:to>
      <xdr:col>30</xdr:col>
      <xdr:colOff>56071</xdr:colOff>
      <xdr:row>4</xdr:row>
      <xdr:rowOff>99160</xdr:rowOff>
    </xdr:to>
    <xdr:sp macro="" textlink="">
      <xdr:nvSpPr>
        <xdr:cNvPr id="29" name="Cylinder 28">
          <a:extLst>
            <a:ext uri="{FF2B5EF4-FFF2-40B4-BE49-F238E27FC236}">
              <a16:creationId xmlns:a16="http://schemas.microsoft.com/office/drawing/2014/main" id="{77B8AB91-583D-4025-B82E-CC20AACF5AFF}"/>
            </a:ext>
            <a:ext uri="{147F2762-F138-4A5C-976F-8EAC2B608ADB}">
              <a16:predDERef xmlns:a16="http://schemas.microsoft.com/office/drawing/2014/main" pred="{FA584320-CCE6-4FF9-B462-87EBE828857C}"/>
            </a:ext>
          </a:extLst>
        </xdr:cNvPr>
        <xdr:cNvSpPr/>
      </xdr:nvSpPr>
      <xdr:spPr>
        <a:xfrm>
          <a:off x="8628571" y="719047"/>
          <a:ext cx="1971675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271493</xdr:colOff>
      <xdr:row>16</xdr:row>
      <xdr:rowOff>17972</xdr:rowOff>
    </xdr:from>
    <xdr:to>
      <xdr:col>30</xdr:col>
      <xdr:colOff>42893</xdr:colOff>
      <xdr:row>17</xdr:row>
      <xdr:rowOff>317</xdr:rowOff>
    </xdr:to>
    <xdr:sp macro="" textlink="">
      <xdr:nvSpPr>
        <xdr:cNvPr id="30" name="Cylinder 29">
          <a:extLst>
            <a:ext uri="{FF2B5EF4-FFF2-40B4-BE49-F238E27FC236}">
              <a16:creationId xmlns:a16="http://schemas.microsoft.com/office/drawing/2014/main" id="{E14DAA55-C35B-45C4-898F-20E63C339C8B}"/>
            </a:ext>
          </a:extLst>
        </xdr:cNvPr>
        <xdr:cNvSpPr/>
      </xdr:nvSpPr>
      <xdr:spPr>
        <a:xfrm>
          <a:off x="8628333" y="1626439"/>
          <a:ext cx="1972933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238919</xdr:colOff>
      <xdr:row>6</xdr:row>
      <xdr:rowOff>24607</xdr:rowOff>
    </xdr:from>
    <xdr:to>
      <xdr:col>16</xdr:col>
      <xdr:colOff>10319</xdr:colOff>
      <xdr:row>7</xdr:row>
      <xdr:rowOff>7176</xdr:rowOff>
    </xdr:to>
    <xdr:sp macro="" textlink="">
      <xdr:nvSpPr>
        <xdr:cNvPr id="31" name="Cylinder 30">
          <a:extLst>
            <a:ext uri="{FF2B5EF4-FFF2-40B4-BE49-F238E27FC236}">
              <a16:creationId xmlns:a16="http://schemas.microsoft.com/office/drawing/2014/main" id="{BE0460E4-9B0A-4894-9A7F-98E619434286}"/>
            </a:ext>
          </a:extLst>
        </xdr:cNvPr>
        <xdr:cNvSpPr/>
      </xdr:nvSpPr>
      <xdr:spPr>
        <a:xfrm>
          <a:off x="4191794" y="917576"/>
          <a:ext cx="1980009" cy="1828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679450</xdr:colOff>
      <xdr:row>17</xdr:row>
      <xdr:rowOff>82550</xdr:rowOff>
    </xdr:from>
    <xdr:to>
      <xdr:col>1</xdr:col>
      <xdr:colOff>20320</xdr:colOff>
      <xdr:row>19</xdr:row>
      <xdr:rowOff>20321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C7EE1830-3909-4DF8-BCBB-4134CFFC7346}"/>
            </a:ext>
          </a:extLst>
        </xdr:cNvPr>
        <xdr:cNvGrpSpPr/>
      </xdr:nvGrpSpPr>
      <xdr:grpSpPr>
        <a:xfrm>
          <a:off x="679450" y="1682750"/>
          <a:ext cx="236220" cy="147321"/>
          <a:chOff x="1276350" y="685800"/>
          <a:chExt cx="306070" cy="185421"/>
        </a:xfrm>
      </xdr:grpSpPr>
      <xdr:pic>
        <xdr:nvPicPr>
          <xdr:cNvPr id="35" name="Picture 34" descr="Process Flow Diagram Symbols">
            <a:extLst>
              <a:ext uri="{FF2B5EF4-FFF2-40B4-BE49-F238E27FC236}">
                <a16:creationId xmlns:a16="http://schemas.microsoft.com/office/drawing/2014/main" id="{BC2DC5E1-5764-41CC-9BB5-80E13DDDFCF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222" t="11482" r="3000" b="77871"/>
          <a:stretch/>
        </xdr:blipFill>
        <xdr:spPr bwMode="auto">
          <a:xfrm>
            <a:off x="1403349" y="692150"/>
            <a:ext cx="179071" cy="179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Picture 33" descr="Symbol Differential Pressure Measuring Instrument - Symbol Of Pressure Gauge  Clipart (#4041922) - PinClipart">
            <a:extLst>
              <a:ext uri="{FF2B5EF4-FFF2-40B4-BE49-F238E27FC236}">
                <a16:creationId xmlns:a16="http://schemas.microsoft.com/office/drawing/2014/main" id="{6F0D0005-BE8A-4A12-800E-5BC7EDFF74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6350" y="685800"/>
            <a:ext cx="163884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685800</xdr:colOff>
      <xdr:row>19</xdr:row>
      <xdr:rowOff>50800</xdr:rowOff>
    </xdr:from>
    <xdr:to>
      <xdr:col>1</xdr:col>
      <xdr:colOff>26670</xdr:colOff>
      <xdr:row>20</xdr:row>
      <xdr:rowOff>96521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66FDAC8A-7E52-4C25-BA95-07ECADF0DA0E}"/>
            </a:ext>
          </a:extLst>
        </xdr:cNvPr>
        <xdr:cNvGrpSpPr/>
      </xdr:nvGrpSpPr>
      <xdr:grpSpPr>
        <a:xfrm>
          <a:off x="685800" y="1860550"/>
          <a:ext cx="236220" cy="150496"/>
          <a:chOff x="1276350" y="685800"/>
          <a:chExt cx="306070" cy="185421"/>
        </a:xfrm>
      </xdr:grpSpPr>
      <xdr:pic>
        <xdr:nvPicPr>
          <xdr:cNvPr id="44" name="Picture 43" descr="Process Flow Diagram Symbols">
            <a:extLst>
              <a:ext uri="{FF2B5EF4-FFF2-40B4-BE49-F238E27FC236}">
                <a16:creationId xmlns:a16="http://schemas.microsoft.com/office/drawing/2014/main" id="{881EF907-66F7-417A-8360-FE6E4A0D83E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222" t="11482" r="3000" b="77871"/>
          <a:stretch/>
        </xdr:blipFill>
        <xdr:spPr bwMode="auto">
          <a:xfrm>
            <a:off x="1403349" y="692150"/>
            <a:ext cx="179071" cy="179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5" name="Picture 44" descr="Symbol Differential Pressure Measuring Instrument - Symbol Of Pressure Gauge  Clipart (#4041922) - PinClipart">
            <a:extLst>
              <a:ext uri="{FF2B5EF4-FFF2-40B4-BE49-F238E27FC236}">
                <a16:creationId xmlns:a16="http://schemas.microsoft.com/office/drawing/2014/main" id="{12543E9F-AF69-42E9-9622-34829431B5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6350" y="685800"/>
            <a:ext cx="163884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685800</xdr:colOff>
      <xdr:row>21</xdr:row>
      <xdr:rowOff>6350</xdr:rowOff>
    </xdr:from>
    <xdr:to>
      <xdr:col>1</xdr:col>
      <xdr:colOff>26670</xdr:colOff>
      <xdr:row>23</xdr:row>
      <xdr:rowOff>7621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44535D07-AFC0-4969-8FE4-6F2A56808B9A}"/>
            </a:ext>
          </a:extLst>
        </xdr:cNvPr>
        <xdr:cNvGrpSpPr/>
      </xdr:nvGrpSpPr>
      <xdr:grpSpPr>
        <a:xfrm>
          <a:off x="685800" y="2025650"/>
          <a:ext cx="236220" cy="144146"/>
          <a:chOff x="1276350" y="685800"/>
          <a:chExt cx="306070" cy="185421"/>
        </a:xfrm>
      </xdr:grpSpPr>
      <xdr:pic>
        <xdr:nvPicPr>
          <xdr:cNvPr id="47" name="Picture 46" descr="Process Flow Diagram Symbols">
            <a:extLst>
              <a:ext uri="{FF2B5EF4-FFF2-40B4-BE49-F238E27FC236}">
                <a16:creationId xmlns:a16="http://schemas.microsoft.com/office/drawing/2014/main" id="{D998655A-8D22-446D-9262-7F2A123C698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222" t="11482" r="3000" b="77871"/>
          <a:stretch/>
        </xdr:blipFill>
        <xdr:spPr bwMode="auto">
          <a:xfrm>
            <a:off x="1403349" y="692150"/>
            <a:ext cx="179071" cy="179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8" name="Picture 47" descr="Symbol Differential Pressure Measuring Instrument - Symbol Of Pressure Gauge  Clipart (#4041922) - PinClipart">
            <a:extLst>
              <a:ext uri="{FF2B5EF4-FFF2-40B4-BE49-F238E27FC236}">
                <a16:creationId xmlns:a16="http://schemas.microsoft.com/office/drawing/2014/main" id="{5D2011F9-A721-48C0-805B-63607C852B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6350" y="685800"/>
            <a:ext cx="163884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685800</xdr:colOff>
      <xdr:row>33</xdr:row>
      <xdr:rowOff>44450</xdr:rowOff>
    </xdr:from>
    <xdr:to>
      <xdr:col>1</xdr:col>
      <xdr:colOff>26670</xdr:colOff>
      <xdr:row>34</xdr:row>
      <xdr:rowOff>90171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D12B92CA-1887-491D-85B6-28842C0C2E42}"/>
            </a:ext>
          </a:extLst>
        </xdr:cNvPr>
        <xdr:cNvGrpSpPr/>
      </xdr:nvGrpSpPr>
      <xdr:grpSpPr>
        <a:xfrm>
          <a:off x="685800" y="2921000"/>
          <a:ext cx="236220" cy="150496"/>
          <a:chOff x="1276350" y="685800"/>
          <a:chExt cx="306070" cy="185421"/>
        </a:xfrm>
      </xdr:grpSpPr>
      <xdr:pic>
        <xdr:nvPicPr>
          <xdr:cNvPr id="50" name="Picture 49" descr="Process Flow Diagram Symbols">
            <a:extLst>
              <a:ext uri="{FF2B5EF4-FFF2-40B4-BE49-F238E27FC236}">
                <a16:creationId xmlns:a16="http://schemas.microsoft.com/office/drawing/2014/main" id="{3AD2B999-FE38-4DE7-A2D6-D18849ECBD5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222" t="11482" r="3000" b="77871"/>
          <a:stretch/>
        </xdr:blipFill>
        <xdr:spPr bwMode="auto">
          <a:xfrm>
            <a:off x="1403349" y="692150"/>
            <a:ext cx="179071" cy="179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1" name="Picture 50" descr="Symbol Differential Pressure Measuring Instrument - Symbol Of Pressure Gauge  Clipart (#4041922) - PinClipart">
            <a:extLst>
              <a:ext uri="{FF2B5EF4-FFF2-40B4-BE49-F238E27FC236}">
                <a16:creationId xmlns:a16="http://schemas.microsoft.com/office/drawing/2014/main" id="{15B8D267-A31D-4F92-8350-DDDE3080D1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6350" y="685800"/>
            <a:ext cx="163884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19050</xdr:colOff>
      <xdr:row>2</xdr:row>
      <xdr:rowOff>174625</xdr:rowOff>
    </xdr:from>
    <xdr:to>
      <xdr:col>3</xdr:col>
      <xdr:colOff>255270</xdr:colOff>
      <xdr:row>4</xdr:row>
      <xdr:rowOff>26671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7FB3691A-DC32-4781-A044-63095F2E64A5}"/>
            </a:ext>
          </a:extLst>
        </xdr:cNvPr>
        <xdr:cNvGrpSpPr/>
      </xdr:nvGrpSpPr>
      <xdr:grpSpPr>
        <a:xfrm>
          <a:off x="2076450" y="527050"/>
          <a:ext cx="236220" cy="137796"/>
          <a:chOff x="1276350" y="685800"/>
          <a:chExt cx="306070" cy="185421"/>
        </a:xfrm>
      </xdr:grpSpPr>
      <xdr:pic>
        <xdr:nvPicPr>
          <xdr:cNvPr id="53" name="Picture 52" descr="Process Flow Diagram Symbols">
            <a:extLst>
              <a:ext uri="{FF2B5EF4-FFF2-40B4-BE49-F238E27FC236}">
                <a16:creationId xmlns:a16="http://schemas.microsoft.com/office/drawing/2014/main" id="{BDDD46DD-BB83-4C35-90F5-61D4DB154E8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8222" t="11482" r="3000" b="77871"/>
          <a:stretch/>
        </xdr:blipFill>
        <xdr:spPr bwMode="auto">
          <a:xfrm>
            <a:off x="1403349" y="692150"/>
            <a:ext cx="179071" cy="179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4" name="Picture 53" descr="Symbol Differential Pressure Measuring Instrument - Symbol Of Pressure Gauge  Clipart (#4041922) - PinClipart">
            <a:extLst>
              <a:ext uri="{FF2B5EF4-FFF2-40B4-BE49-F238E27FC236}">
                <a16:creationId xmlns:a16="http://schemas.microsoft.com/office/drawing/2014/main" id="{BF652BEB-DBD6-41DB-8D1C-540501AB8F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6350" y="685800"/>
            <a:ext cx="163884" cy="1828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573660</xdr:colOff>
      <xdr:row>2</xdr:row>
      <xdr:rowOff>179887</xdr:rowOff>
    </xdr:from>
    <xdr:to>
      <xdr:col>2</xdr:col>
      <xdr:colOff>212725</xdr:colOff>
      <xdr:row>4</xdr:row>
      <xdr:rowOff>89873</xdr:rowOff>
    </xdr:to>
    <xdr:pic>
      <xdr:nvPicPr>
        <xdr:cNvPr id="56" name="Picture 55" descr="Process Flow Diagram Symbols">
          <a:extLst>
            <a:ext uri="{FF2B5EF4-FFF2-40B4-BE49-F238E27FC236}">
              <a16:creationId xmlns:a16="http://schemas.microsoft.com/office/drawing/2014/main" id="{938785F5-5BE9-492E-97BA-6F53E970B7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22" t="11482" r="3000" b="77871"/>
        <a:stretch/>
      </xdr:blipFill>
      <xdr:spPr bwMode="auto">
        <a:xfrm>
          <a:off x="1469010" y="560887"/>
          <a:ext cx="220090" cy="205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86</xdr:row>
      <xdr:rowOff>0</xdr:rowOff>
    </xdr:from>
    <xdr:to>
      <xdr:col>3</xdr:col>
      <xdr:colOff>220090</xdr:colOff>
      <xdr:row>87</xdr:row>
      <xdr:rowOff>21111</xdr:rowOff>
    </xdr:to>
    <xdr:pic>
      <xdr:nvPicPr>
        <xdr:cNvPr id="58" name="Picture 57" descr="Process Flow Diagram Symbols">
          <a:extLst>
            <a:ext uri="{FF2B5EF4-FFF2-40B4-BE49-F238E27FC236}">
              <a16:creationId xmlns:a16="http://schemas.microsoft.com/office/drawing/2014/main" id="{EE9F839D-EA19-4DED-9D19-78BA2ABF0A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22" t="11482" r="3000" b="77871"/>
        <a:stretch/>
      </xdr:blipFill>
      <xdr:spPr bwMode="auto">
        <a:xfrm>
          <a:off x="1549400" y="8159750"/>
          <a:ext cx="220090" cy="198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31750</xdr:colOff>
      <xdr:row>87</xdr:row>
      <xdr:rowOff>6350</xdr:rowOff>
    </xdr:from>
    <xdr:to>
      <xdr:col>3</xdr:col>
      <xdr:colOff>182034</xdr:colOff>
      <xdr:row>87</xdr:row>
      <xdr:rowOff>157915</xdr:rowOff>
    </xdr:to>
    <xdr:pic>
      <xdr:nvPicPr>
        <xdr:cNvPr id="61" name="Picture 60" descr="Symbol Differential Pressure Measuring Instrument - Symbol Of Pressure Gauge  Clipart (#4041922) - PinClipart">
          <a:extLst>
            <a:ext uri="{FF2B5EF4-FFF2-40B4-BE49-F238E27FC236}">
              <a16:creationId xmlns:a16="http://schemas.microsoft.com/office/drawing/2014/main" id="{13967853-C781-4595-BAD4-B09B57E7E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8343900"/>
          <a:ext cx="150284" cy="151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603250</xdr:colOff>
      <xdr:row>79</xdr:row>
      <xdr:rowOff>127000</xdr:rowOff>
    </xdr:from>
    <xdr:to>
      <xdr:col>30</xdr:col>
      <xdr:colOff>6350</xdr:colOff>
      <xdr:row>79</xdr:row>
      <xdr:rowOff>139700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C3FC8B8C-3D9B-499A-BB32-4F5343EE0BC6}"/>
            </a:ext>
          </a:extLst>
        </xdr:cNvPr>
        <xdr:cNvCxnSpPr/>
      </xdr:nvCxnSpPr>
      <xdr:spPr>
        <a:xfrm>
          <a:off x="1543050" y="7042150"/>
          <a:ext cx="10248900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133350</xdr:colOff>
      <xdr:row>5</xdr:row>
      <xdr:rowOff>6350</xdr:rowOff>
    </xdr:from>
    <xdr:to>
      <xdr:col>32</xdr:col>
      <xdr:colOff>158750</xdr:colOff>
      <xdr:row>77</xdr:row>
      <xdr:rowOff>101600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6A3902F4-0DDA-4393-B770-0CEEDAC24784}"/>
            </a:ext>
          </a:extLst>
        </xdr:cNvPr>
        <xdr:cNvCxnSpPr/>
      </xdr:nvCxnSpPr>
      <xdr:spPr>
        <a:xfrm>
          <a:off x="13138150" y="768350"/>
          <a:ext cx="25400" cy="59626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27214</xdr:colOff>
      <xdr:row>2</xdr:row>
      <xdr:rowOff>27213</xdr:rowOff>
    </xdr:from>
    <xdr:to>
      <xdr:col>9</xdr:col>
      <xdr:colOff>122464</xdr:colOff>
      <xdr:row>79</xdr:row>
      <xdr:rowOff>26306</xdr:rowOff>
    </xdr:to>
    <xdr:sp macro="" textlink="">
      <xdr:nvSpPr>
        <xdr:cNvPr id="57" name="Cylinder 56">
          <a:extLst>
            <a:ext uri="{FF2B5EF4-FFF2-40B4-BE49-F238E27FC236}">
              <a16:creationId xmlns:a16="http://schemas.microsoft.com/office/drawing/2014/main" id="{6AFD85A4-60D1-444F-A12C-00D95AFEEAAF}"/>
            </a:ext>
          </a:extLst>
        </xdr:cNvPr>
        <xdr:cNvSpPr/>
      </xdr:nvSpPr>
      <xdr:spPr>
        <a:xfrm>
          <a:off x="3973285" y="408213"/>
          <a:ext cx="95250" cy="6503307"/>
        </a:xfrm>
        <a:prstGeom prst="ca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1</xdr:row>
      <xdr:rowOff>154780</xdr:rowOff>
    </xdr:from>
    <xdr:to>
      <xdr:col>16</xdr:col>
      <xdr:colOff>95250</xdr:colOff>
      <xdr:row>78</xdr:row>
      <xdr:rowOff>153873</xdr:rowOff>
    </xdr:to>
    <xdr:sp macro="" textlink="">
      <xdr:nvSpPr>
        <xdr:cNvPr id="60" name="Cylinder 59">
          <a:extLst>
            <a:ext uri="{FF2B5EF4-FFF2-40B4-BE49-F238E27FC236}">
              <a16:creationId xmlns:a16="http://schemas.microsoft.com/office/drawing/2014/main" id="{995C5E20-FC08-4B74-91EC-ABDF55F1AF8E}"/>
            </a:ext>
          </a:extLst>
        </xdr:cNvPr>
        <xdr:cNvSpPr/>
      </xdr:nvSpPr>
      <xdr:spPr>
        <a:xfrm>
          <a:off x="6084094" y="345280"/>
          <a:ext cx="95250" cy="6273687"/>
        </a:xfrm>
        <a:prstGeom prst="ca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486072</xdr:colOff>
      <xdr:row>1</xdr:row>
      <xdr:rowOff>128567</xdr:rowOff>
    </xdr:from>
    <xdr:to>
      <xdr:col>30</xdr:col>
      <xdr:colOff>579999</xdr:colOff>
      <xdr:row>78</xdr:row>
      <xdr:rowOff>127660</xdr:rowOff>
    </xdr:to>
    <xdr:sp macro="" textlink="">
      <xdr:nvSpPr>
        <xdr:cNvPr id="64" name="Cylinder 63">
          <a:extLst>
            <a:ext uri="{FF2B5EF4-FFF2-40B4-BE49-F238E27FC236}">
              <a16:creationId xmlns:a16="http://schemas.microsoft.com/office/drawing/2014/main" id="{0D951EAA-E2DE-4A25-A9E9-71D57BD9C1BE}"/>
            </a:ext>
          </a:extLst>
        </xdr:cNvPr>
        <xdr:cNvSpPr/>
      </xdr:nvSpPr>
      <xdr:spPr>
        <a:xfrm>
          <a:off x="11122322" y="319067"/>
          <a:ext cx="93927" cy="6412593"/>
        </a:xfrm>
        <a:prstGeom prst="ca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301449</xdr:colOff>
      <xdr:row>2</xdr:row>
      <xdr:rowOff>8137</xdr:rowOff>
    </xdr:from>
    <xdr:to>
      <xdr:col>2</xdr:col>
      <xdr:colOff>396699</xdr:colOff>
      <xdr:row>79</xdr:row>
      <xdr:rowOff>7230</xdr:rowOff>
    </xdr:to>
    <xdr:sp macro="" textlink="">
      <xdr:nvSpPr>
        <xdr:cNvPr id="67" name="Cylinder 66">
          <a:extLst>
            <a:ext uri="{FF2B5EF4-FFF2-40B4-BE49-F238E27FC236}">
              <a16:creationId xmlns:a16="http://schemas.microsoft.com/office/drawing/2014/main" id="{3458E2B9-8A54-4480-8D90-9B8FB7C65524}"/>
            </a:ext>
          </a:extLst>
        </xdr:cNvPr>
        <xdr:cNvSpPr/>
      </xdr:nvSpPr>
      <xdr:spPr>
        <a:xfrm>
          <a:off x="1784114" y="385543"/>
          <a:ext cx="95250" cy="6307159"/>
        </a:xfrm>
        <a:prstGeom prst="ca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107156</xdr:colOff>
      <xdr:row>3</xdr:row>
      <xdr:rowOff>29765</xdr:rowOff>
    </xdr:from>
    <xdr:to>
      <xdr:col>9</xdr:col>
      <xdr:colOff>290659</xdr:colOff>
      <xdr:row>3</xdr:row>
      <xdr:rowOff>77813</xdr:rowOff>
    </xdr:to>
    <xdr:sp macro="" textlink="">
      <xdr:nvSpPr>
        <xdr:cNvPr id="68" name="Cylinder 67">
          <a:extLst>
            <a:ext uri="{FF2B5EF4-FFF2-40B4-BE49-F238E27FC236}">
              <a16:creationId xmlns:a16="http://schemas.microsoft.com/office/drawing/2014/main" id="{AA441AE1-6D72-4081-8091-7E6051CFD883}"/>
            </a:ext>
          </a:extLst>
        </xdr:cNvPr>
        <xdr:cNvSpPr/>
      </xdr:nvSpPr>
      <xdr:spPr>
        <a:xfrm>
          <a:off x="4060031" y="601265"/>
          <a:ext cx="183503" cy="4804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101812</xdr:colOff>
      <xdr:row>3</xdr:row>
      <xdr:rowOff>59642</xdr:rowOff>
    </xdr:from>
    <xdr:to>
      <xdr:col>16</xdr:col>
      <xdr:colOff>285315</xdr:colOff>
      <xdr:row>4</xdr:row>
      <xdr:rowOff>534</xdr:rowOff>
    </xdr:to>
    <xdr:sp macro="" textlink="">
      <xdr:nvSpPr>
        <xdr:cNvPr id="69" name="Cylinder 68">
          <a:extLst>
            <a:ext uri="{FF2B5EF4-FFF2-40B4-BE49-F238E27FC236}">
              <a16:creationId xmlns:a16="http://schemas.microsoft.com/office/drawing/2014/main" id="{8D00B27D-8B60-4FCB-A6B4-A651CFAA4BB3}"/>
            </a:ext>
          </a:extLst>
        </xdr:cNvPr>
        <xdr:cNvSpPr/>
      </xdr:nvSpPr>
      <xdr:spPr>
        <a:xfrm>
          <a:off x="6263296" y="631142"/>
          <a:ext cx="183503" cy="48048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87007</xdr:colOff>
      <xdr:row>3</xdr:row>
      <xdr:rowOff>54241</xdr:rowOff>
    </xdr:from>
    <xdr:to>
      <xdr:col>30</xdr:col>
      <xdr:colOff>460677</xdr:colOff>
      <xdr:row>3</xdr:row>
      <xdr:rowOff>101865</xdr:rowOff>
    </xdr:to>
    <xdr:sp macro="" textlink="">
      <xdr:nvSpPr>
        <xdr:cNvPr id="71" name="Cylinder 70">
          <a:extLst>
            <a:ext uri="{FF2B5EF4-FFF2-40B4-BE49-F238E27FC236}">
              <a16:creationId xmlns:a16="http://schemas.microsoft.com/office/drawing/2014/main" id="{AD73C036-ACF8-4A55-A96D-F7F4030B41CB}"/>
            </a:ext>
          </a:extLst>
        </xdr:cNvPr>
        <xdr:cNvSpPr/>
      </xdr:nvSpPr>
      <xdr:spPr>
        <a:xfrm>
          <a:off x="10723257" y="625741"/>
          <a:ext cx="373670" cy="47624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553641</xdr:colOff>
      <xdr:row>4</xdr:row>
      <xdr:rowOff>71437</xdr:rowOff>
    </xdr:from>
    <xdr:to>
      <xdr:col>9</xdr:col>
      <xdr:colOff>1985</xdr:colOff>
      <xdr:row>5</xdr:row>
      <xdr:rowOff>9999</xdr:rowOff>
    </xdr:to>
    <xdr:sp macro="" textlink="">
      <xdr:nvSpPr>
        <xdr:cNvPr id="73" name="Cylinder 72">
          <a:extLst>
            <a:ext uri="{FF2B5EF4-FFF2-40B4-BE49-F238E27FC236}">
              <a16:creationId xmlns:a16="http://schemas.microsoft.com/office/drawing/2014/main" id="{BA2FD923-33A9-45DD-9D4C-F58ECAD7430F}"/>
            </a:ext>
          </a:extLst>
        </xdr:cNvPr>
        <xdr:cNvSpPr/>
      </xdr:nvSpPr>
      <xdr:spPr>
        <a:xfrm>
          <a:off x="2030016" y="750093"/>
          <a:ext cx="1924844" cy="45719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559593</xdr:colOff>
      <xdr:row>16</xdr:row>
      <xdr:rowOff>8288</xdr:rowOff>
    </xdr:from>
    <xdr:to>
      <xdr:col>9</xdr:col>
      <xdr:colOff>3572</xdr:colOff>
      <xdr:row>17</xdr:row>
      <xdr:rowOff>18288</xdr:rowOff>
    </xdr:to>
    <xdr:sp macro="" textlink="">
      <xdr:nvSpPr>
        <xdr:cNvPr id="75" name="Cylinder 74">
          <a:extLst>
            <a:ext uri="{FF2B5EF4-FFF2-40B4-BE49-F238E27FC236}">
              <a16:creationId xmlns:a16="http://schemas.microsoft.com/office/drawing/2014/main" id="{7F580D02-34CC-4659-86BD-BE396AD0D516}"/>
            </a:ext>
          </a:extLst>
        </xdr:cNvPr>
        <xdr:cNvSpPr/>
      </xdr:nvSpPr>
      <xdr:spPr>
        <a:xfrm>
          <a:off x="2035968" y="1615632"/>
          <a:ext cx="1920479" cy="45719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1</xdr:row>
      <xdr:rowOff>95250</xdr:rowOff>
    </xdr:from>
    <xdr:to>
      <xdr:col>2</xdr:col>
      <xdr:colOff>446484</xdr:colOff>
      <xdr:row>2</xdr:row>
      <xdr:rowOff>5953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0728525-AB8C-4DFD-8DB4-3003FE422556}"/>
            </a:ext>
          </a:extLst>
        </xdr:cNvPr>
        <xdr:cNvSpPr/>
      </xdr:nvSpPr>
      <xdr:spPr>
        <a:xfrm>
          <a:off x="1714500" y="285750"/>
          <a:ext cx="208359" cy="101203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285751</xdr:colOff>
      <xdr:row>1</xdr:row>
      <xdr:rowOff>113108</xdr:rowOff>
    </xdr:from>
    <xdr:to>
      <xdr:col>9</xdr:col>
      <xdr:colOff>178594</xdr:colOff>
      <xdr:row>2</xdr:row>
      <xdr:rowOff>23811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1C32A102-39F4-423B-A5F5-54114993ECF7}"/>
            </a:ext>
          </a:extLst>
        </xdr:cNvPr>
        <xdr:cNvSpPr/>
      </xdr:nvSpPr>
      <xdr:spPr>
        <a:xfrm>
          <a:off x="3923110" y="303608"/>
          <a:ext cx="208359" cy="101203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273843</xdr:colOff>
      <xdr:row>1</xdr:row>
      <xdr:rowOff>59526</xdr:rowOff>
    </xdr:from>
    <xdr:to>
      <xdr:col>16</xdr:col>
      <xdr:colOff>166687</xdr:colOff>
      <xdr:row>1</xdr:row>
      <xdr:rowOff>160729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24F61C56-256F-4B64-ACD4-AB34DAF03582}"/>
            </a:ext>
          </a:extLst>
        </xdr:cNvPr>
        <xdr:cNvSpPr/>
      </xdr:nvSpPr>
      <xdr:spPr>
        <a:xfrm>
          <a:off x="6048374" y="250026"/>
          <a:ext cx="202407" cy="101203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436021</xdr:colOff>
      <xdr:row>1</xdr:row>
      <xdr:rowOff>14947</xdr:rowOff>
    </xdr:from>
    <xdr:to>
      <xdr:col>31</xdr:col>
      <xdr:colOff>60974</xdr:colOff>
      <xdr:row>1</xdr:row>
      <xdr:rowOff>116150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54905B61-CF7C-42B2-8DB1-C9EDC83233CD}"/>
            </a:ext>
          </a:extLst>
        </xdr:cNvPr>
        <xdr:cNvSpPr/>
      </xdr:nvSpPr>
      <xdr:spPr>
        <a:xfrm>
          <a:off x="11072271" y="205447"/>
          <a:ext cx="207036" cy="101203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10</xdr:row>
      <xdr:rowOff>0</xdr:rowOff>
    </xdr:from>
    <xdr:to>
      <xdr:col>30</xdr:col>
      <xdr:colOff>88900</xdr:colOff>
      <xdr:row>10</xdr:row>
      <xdr:rowOff>24679</xdr:rowOff>
    </xdr:to>
    <xdr:sp macro="" textlink="">
      <xdr:nvSpPr>
        <xdr:cNvPr id="59" name="Cylinder 58">
          <a:extLst>
            <a:ext uri="{FF2B5EF4-FFF2-40B4-BE49-F238E27FC236}">
              <a16:creationId xmlns:a16="http://schemas.microsoft.com/office/drawing/2014/main" id="{4FC74EDD-CF06-4F7F-AF3A-6CFEFDC680B8}"/>
            </a:ext>
          </a:extLst>
        </xdr:cNvPr>
        <xdr:cNvSpPr/>
      </xdr:nvSpPr>
      <xdr:spPr>
        <a:xfrm>
          <a:off x="8731250" y="1185333"/>
          <a:ext cx="1993900" cy="24679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89"/>
  <sheetViews>
    <sheetView tabSelected="1" zoomScale="90" zoomScaleNormal="90" workbookViewId="0">
      <selection activeCell="AN23" sqref="AN23"/>
    </sheetView>
  </sheetViews>
  <sheetFormatPr defaultColWidth="8.7109375" defaultRowHeight="14.1"/>
  <cols>
    <col min="1" max="1" width="13.42578125" style="1" customWidth="1"/>
    <col min="2" max="3" width="8.7109375" style="1"/>
    <col min="4" max="30" width="4.7109375" style="1" customWidth="1"/>
    <col min="31" max="16384" width="8.7109375" style="1"/>
  </cols>
  <sheetData>
    <row r="2" spans="2:34" ht="14.45">
      <c r="AG2"/>
    </row>
    <row r="3" spans="2:34" ht="14.45">
      <c r="AH3"/>
    </row>
    <row r="4" spans="2:34" ht="8.4499999999999993" customHeight="1">
      <c r="F4" s="54"/>
      <c r="G4" s="54"/>
      <c r="M4" s="54"/>
      <c r="N4" s="54"/>
      <c r="T4" s="54"/>
      <c r="U4" s="54"/>
      <c r="AA4" s="54"/>
      <c r="AB4" s="54"/>
    </row>
    <row r="5" spans="2:34" ht="8.4499999999999993" customHeight="1"/>
    <row r="6" spans="2:34" ht="8.4499999999999993" customHeight="1">
      <c r="B6" s="28"/>
      <c r="C6" s="2"/>
      <c r="D6" s="4" t="s">
        <v>0</v>
      </c>
      <c r="E6" s="4"/>
      <c r="F6" s="4"/>
      <c r="G6" s="4"/>
      <c r="H6" s="4" t="s">
        <v>0</v>
      </c>
      <c r="I6" s="4"/>
      <c r="J6" s="5"/>
      <c r="K6" s="17"/>
      <c r="L6" s="18"/>
      <c r="M6" s="18"/>
      <c r="N6" s="18"/>
      <c r="O6" s="18"/>
      <c r="P6" s="17"/>
      <c r="Q6" s="6"/>
      <c r="R6" s="9" t="s">
        <v>0</v>
      </c>
      <c r="S6" s="9"/>
      <c r="T6" s="9" t="s">
        <v>0</v>
      </c>
      <c r="U6" s="9"/>
      <c r="V6" s="9" t="s">
        <v>0</v>
      </c>
      <c r="W6" s="8"/>
      <c r="X6" s="6"/>
      <c r="Y6" s="12"/>
      <c r="Z6" s="13" t="s">
        <v>0</v>
      </c>
      <c r="AA6" s="13"/>
      <c r="AB6" s="13"/>
      <c r="AC6" s="13" t="s">
        <v>0</v>
      </c>
      <c r="AD6" s="12"/>
      <c r="AE6" s="59">
        <v>42</v>
      </c>
      <c r="AG6" s="59" t="s">
        <v>1</v>
      </c>
    </row>
    <row r="7" spans="2:34" ht="3.6" customHeight="1">
      <c r="B7" s="28"/>
      <c r="C7" s="2"/>
      <c r="D7" s="55"/>
      <c r="E7" s="55"/>
      <c r="F7" s="55"/>
      <c r="G7" s="55"/>
      <c r="H7" s="55"/>
      <c r="I7" s="55"/>
      <c r="J7" s="5"/>
      <c r="K7" s="55"/>
      <c r="L7" s="55"/>
      <c r="M7" s="55"/>
      <c r="N7" s="55"/>
      <c r="O7" s="55"/>
      <c r="P7" s="55"/>
      <c r="Q7" s="6"/>
      <c r="R7" s="55"/>
      <c r="S7" s="55"/>
      <c r="T7" s="55"/>
      <c r="U7" s="55"/>
      <c r="V7" s="55"/>
      <c r="W7" s="55"/>
      <c r="X7" s="6"/>
      <c r="Y7" s="55"/>
      <c r="Z7" s="55"/>
      <c r="AA7" s="55"/>
      <c r="AB7" s="55"/>
      <c r="AC7" s="55"/>
      <c r="AD7" s="55"/>
      <c r="AE7" s="59"/>
      <c r="AG7" s="59"/>
    </row>
    <row r="8" spans="2:34" ht="8.4499999999999993" customHeight="1">
      <c r="B8" s="28"/>
      <c r="C8" s="2"/>
      <c r="D8" s="4"/>
      <c r="E8" s="4"/>
      <c r="F8" s="4"/>
      <c r="G8" s="4"/>
      <c r="H8" s="4"/>
      <c r="I8" s="4"/>
      <c r="J8" s="5"/>
      <c r="K8" s="17"/>
      <c r="L8" s="18" t="s">
        <v>0</v>
      </c>
      <c r="M8" s="18"/>
      <c r="N8" s="18"/>
      <c r="O8" s="18" t="s">
        <v>0</v>
      </c>
      <c r="P8" s="17"/>
      <c r="Q8" s="6"/>
      <c r="R8" s="8"/>
      <c r="S8" s="9"/>
      <c r="T8" s="9"/>
      <c r="U8" s="9"/>
      <c r="V8" s="9"/>
      <c r="W8" s="8"/>
      <c r="X8" s="6"/>
      <c r="Y8" s="12"/>
      <c r="Z8" s="13"/>
      <c r="AA8" s="13"/>
      <c r="AB8" s="13"/>
      <c r="AC8" s="13"/>
      <c r="AD8" s="12"/>
      <c r="AE8" s="59"/>
      <c r="AG8" s="59"/>
    </row>
    <row r="9" spans="2:34" ht="3.6" customHeight="1">
      <c r="B9" s="28"/>
      <c r="C9" s="2"/>
      <c r="D9" s="55"/>
      <c r="E9" s="55"/>
      <c r="F9" s="55"/>
      <c r="G9" s="55"/>
      <c r="H9" s="55"/>
      <c r="I9" s="55"/>
      <c r="J9" s="5"/>
      <c r="K9" s="55"/>
      <c r="L9" s="55"/>
      <c r="M9" s="55"/>
      <c r="N9" s="55"/>
      <c r="O9" s="55"/>
      <c r="P9" s="55"/>
      <c r="Q9" s="6"/>
      <c r="R9" s="55"/>
      <c r="S9" s="55"/>
      <c r="T9" s="55"/>
      <c r="U9" s="55"/>
      <c r="V9" s="55"/>
      <c r="W9" s="55"/>
      <c r="X9" s="6"/>
      <c r="Y9" s="55"/>
      <c r="Z9" s="55"/>
      <c r="AA9" s="55"/>
      <c r="AB9" s="55"/>
      <c r="AC9" s="55"/>
      <c r="AD9" s="55"/>
      <c r="AE9" s="59"/>
      <c r="AG9" s="59"/>
    </row>
    <row r="10" spans="2:34" ht="8.4499999999999993" customHeight="1">
      <c r="B10" s="28"/>
      <c r="C10" s="2"/>
      <c r="D10" s="4"/>
      <c r="E10" s="7"/>
      <c r="F10" s="7"/>
      <c r="G10" s="7"/>
      <c r="H10" s="7"/>
      <c r="I10" s="4"/>
      <c r="J10" s="5"/>
      <c r="K10" s="17"/>
      <c r="L10" s="19"/>
      <c r="M10" s="19"/>
      <c r="N10" s="19"/>
      <c r="O10" s="19"/>
      <c r="P10" s="17"/>
      <c r="Q10" s="6"/>
      <c r="R10" s="8"/>
      <c r="S10" s="14"/>
      <c r="T10" s="14"/>
      <c r="U10" s="14"/>
      <c r="V10" s="14"/>
      <c r="W10" s="8"/>
      <c r="X10" s="6"/>
      <c r="Y10" s="12"/>
      <c r="Z10" s="16"/>
      <c r="AA10" s="16"/>
      <c r="AB10" s="16"/>
      <c r="AC10" s="16"/>
      <c r="AD10" s="12"/>
      <c r="AE10" s="59"/>
      <c r="AG10" s="59"/>
    </row>
    <row r="11" spans="2:34" ht="3.6" customHeight="1">
      <c r="B11" s="28"/>
      <c r="C11" s="2"/>
      <c r="D11" s="55"/>
      <c r="E11" s="55"/>
      <c r="F11" s="55"/>
      <c r="G11" s="55"/>
      <c r="H11" s="55"/>
      <c r="I11" s="55"/>
      <c r="J11" s="5"/>
      <c r="K11" s="55"/>
      <c r="L11" s="55"/>
      <c r="M11" s="55"/>
      <c r="N11" s="55"/>
      <c r="O11" s="55"/>
      <c r="P11" s="55"/>
      <c r="Q11" s="6"/>
      <c r="R11" s="55"/>
      <c r="S11" s="55"/>
      <c r="T11" s="55"/>
      <c r="U11" s="55"/>
      <c r="V11" s="55"/>
      <c r="W11" s="55"/>
      <c r="X11" s="6"/>
      <c r="Y11" s="55"/>
      <c r="Z11" s="55"/>
      <c r="AA11" s="55"/>
      <c r="AB11" s="55"/>
      <c r="AC11" s="55"/>
      <c r="AD11" s="55"/>
      <c r="AE11" s="59"/>
      <c r="AG11" s="59"/>
    </row>
    <row r="12" spans="2:34" ht="8.4499999999999993" customHeight="1">
      <c r="B12" s="28"/>
      <c r="C12" s="2"/>
      <c r="D12" s="4"/>
      <c r="E12" s="7"/>
      <c r="F12" s="7"/>
      <c r="G12" s="7"/>
      <c r="H12" s="7"/>
      <c r="I12" s="4"/>
      <c r="J12" s="5"/>
      <c r="K12" s="17"/>
      <c r="L12" s="19"/>
      <c r="M12" s="19"/>
      <c r="N12" s="19"/>
      <c r="O12" s="19"/>
      <c r="P12" s="17"/>
      <c r="Q12" s="6"/>
      <c r="R12" s="9" t="s">
        <v>0</v>
      </c>
      <c r="S12" s="14"/>
      <c r="T12" s="14" t="s">
        <v>0</v>
      </c>
      <c r="U12" s="14"/>
      <c r="V12" s="14" t="s">
        <v>0</v>
      </c>
      <c r="W12" s="8"/>
      <c r="X12" s="6"/>
      <c r="Y12" s="12"/>
      <c r="Z12" s="16" t="s">
        <v>0</v>
      </c>
      <c r="AA12" s="16"/>
      <c r="AB12" s="16"/>
      <c r="AC12" s="16" t="s">
        <v>0</v>
      </c>
      <c r="AD12" s="12"/>
      <c r="AE12" s="59"/>
      <c r="AG12" s="59"/>
    </row>
    <row r="13" spans="2:34" ht="3.6" customHeight="1">
      <c r="B13" s="28"/>
      <c r="C13" s="2"/>
      <c r="D13" s="55"/>
      <c r="E13" s="55"/>
      <c r="F13" s="55"/>
      <c r="G13" s="55"/>
      <c r="H13" s="55"/>
      <c r="I13" s="55"/>
      <c r="J13" s="5"/>
      <c r="K13" s="55"/>
      <c r="L13" s="55"/>
      <c r="M13" s="55"/>
      <c r="N13" s="55"/>
      <c r="O13" s="55"/>
      <c r="P13" s="55"/>
      <c r="Q13" s="6"/>
      <c r="R13" s="55"/>
      <c r="S13" s="55"/>
      <c r="T13" s="55"/>
      <c r="U13" s="55"/>
      <c r="V13" s="55"/>
      <c r="W13" s="55"/>
      <c r="X13" s="6"/>
      <c r="Y13" s="55"/>
      <c r="Z13" s="55"/>
      <c r="AA13" s="55"/>
      <c r="AB13" s="55"/>
      <c r="AC13" s="55"/>
      <c r="AD13" s="55"/>
      <c r="AE13" s="59"/>
      <c r="AG13" s="59"/>
    </row>
    <row r="14" spans="2:34" ht="8.4499999999999993" customHeight="1">
      <c r="B14" s="28"/>
      <c r="C14" s="2"/>
      <c r="D14" s="4"/>
      <c r="E14" s="7"/>
      <c r="F14" s="7"/>
      <c r="G14" s="7"/>
      <c r="H14" s="7"/>
      <c r="I14" s="4"/>
      <c r="J14" s="5"/>
      <c r="K14" s="17"/>
      <c r="L14" s="19"/>
      <c r="M14" s="19"/>
      <c r="N14" s="19"/>
      <c r="O14" s="19"/>
      <c r="P14" s="17"/>
      <c r="Q14" s="6"/>
      <c r="R14" s="8"/>
      <c r="S14" s="14"/>
      <c r="T14" s="14"/>
      <c r="U14" s="14"/>
      <c r="V14" s="14"/>
      <c r="W14" s="8"/>
      <c r="X14" s="6"/>
      <c r="Y14" s="12"/>
      <c r="Z14" s="16"/>
      <c r="AA14" s="16"/>
      <c r="AB14" s="16"/>
      <c r="AC14" s="16"/>
      <c r="AD14" s="12"/>
      <c r="AE14" s="59"/>
      <c r="AG14" s="59"/>
    </row>
    <row r="15" spans="2:34" ht="3.6" customHeight="1">
      <c r="B15" s="28"/>
      <c r="C15" s="2"/>
      <c r="D15" s="55"/>
      <c r="E15" s="55"/>
      <c r="F15" s="55"/>
      <c r="G15" s="55"/>
      <c r="H15" s="55"/>
      <c r="I15" s="55"/>
      <c r="J15" s="5"/>
      <c r="K15" s="55"/>
      <c r="L15" s="55"/>
      <c r="M15" s="55"/>
      <c r="N15" s="55"/>
      <c r="O15" s="55"/>
      <c r="P15" s="55"/>
      <c r="Q15" s="6"/>
      <c r="R15" s="55"/>
      <c r="S15" s="55"/>
      <c r="T15" s="55"/>
      <c r="U15" s="55"/>
      <c r="V15" s="55"/>
      <c r="W15" s="55"/>
      <c r="X15" s="6"/>
      <c r="Y15" s="55"/>
      <c r="Z15" s="55"/>
      <c r="AA15" s="55"/>
      <c r="AB15" s="55"/>
      <c r="AC15" s="55"/>
      <c r="AD15" s="55"/>
      <c r="AE15" s="59"/>
      <c r="AG15" s="59"/>
    </row>
    <row r="16" spans="2:34" ht="8.4499999999999993" customHeight="1">
      <c r="B16" s="28"/>
      <c r="C16" s="2"/>
      <c r="D16" s="4"/>
      <c r="E16" s="4"/>
      <c r="F16" s="4"/>
      <c r="G16" s="4"/>
      <c r="H16" s="4"/>
      <c r="I16" s="4"/>
      <c r="J16" s="5"/>
      <c r="K16" s="17"/>
      <c r="L16" s="18"/>
      <c r="M16" s="18"/>
      <c r="N16" s="18"/>
      <c r="O16" s="18"/>
      <c r="P16" s="17"/>
      <c r="Q16" s="6"/>
      <c r="R16" s="8"/>
      <c r="S16" s="9"/>
      <c r="T16" s="9"/>
      <c r="U16" s="9"/>
      <c r="V16" s="9"/>
      <c r="W16" s="8"/>
      <c r="X16" s="6"/>
      <c r="Y16" s="12"/>
      <c r="Z16" s="13"/>
      <c r="AA16" s="13"/>
      <c r="AB16" s="13"/>
      <c r="AC16" s="13"/>
      <c r="AD16" s="12"/>
      <c r="AE16" s="59"/>
      <c r="AG16" s="59"/>
    </row>
    <row r="17" spans="2:33" ht="3.6" customHeight="1">
      <c r="B17" s="28"/>
      <c r="C17" s="2"/>
      <c r="D17" s="55"/>
      <c r="E17" s="55"/>
      <c r="F17" s="55"/>
      <c r="G17" s="55"/>
      <c r="H17" s="55"/>
      <c r="I17" s="55"/>
      <c r="J17" s="5"/>
      <c r="K17" s="55"/>
      <c r="L17" s="55"/>
      <c r="M17" s="55"/>
      <c r="N17" s="55"/>
      <c r="O17" s="55"/>
      <c r="P17" s="55"/>
      <c r="Q17" s="6"/>
      <c r="R17" s="55"/>
      <c r="S17" s="55"/>
      <c r="T17" s="55"/>
      <c r="U17" s="55"/>
      <c r="V17" s="55"/>
      <c r="W17" s="55"/>
      <c r="X17" s="6"/>
      <c r="Y17" s="55"/>
      <c r="Z17" s="55"/>
      <c r="AA17" s="55"/>
      <c r="AB17" s="55"/>
      <c r="AC17" s="55"/>
      <c r="AD17" s="55"/>
      <c r="AE17" s="59"/>
      <c r="AG17" s="59"/>
    </row>
    <row r="18" spans="2:33" ht="8.4499999999999993" customHeight="1">
      <c r="B18" s="28"/>
      <c r="C18" s="2"/>
      <c r="D18" s="4" t="s">
        <v>0</v>
      </c>
      <c r="E18" s="4"/>
      <c r="F18" s="4"/>
      <c r="G18" s="4"/>
      <c r="H18" s="4" t="s">
        <v>0</v>
      </c>
      <c r="I18" s="4"/>
      <c r="J18" s="5"/>
      <c r="K18" s="17"/>
      <c r="L18" s="18" t="s">
        <v>0</v>
      </c>
      <c r="M18" s="18"/>
      <c r="N18" s="18"/>
      <c r="O18" s="18" t="s">
        <v>0</v>
      </c>
      <c r="P18" s="17"/>
      <c r="Q18" s="6"/>
      <c r="R18" s="9" t="s">
        <v>0</v>
      </c>
      <c r="S18" s="9"/>
      <c r="T18" s="9" t="s">
        <v>0</v>
      </c>
      <c r="U18" s="9"/>
      <c r="V18" s="9" t="s">
        <v>0</v>
      </c>
      <c r="W18" s="8"/>
      <c r="X18" s="6"/>
      <c r="Y18" s="12"/>
      <c r="Z18" s="13" t="s">
        <v>0</v>
      </c>
      <c r="AA18" s="13"/>
      <c r="AB18" s="13"/>
      <c r="AC18" s="13" t="s">
        <v>0</v>
      </c>
      <c r="AD18" s="12"/>
      <c r="AE18" s="59"/>
      <c r="AG18" s="59"/>
    </row>
    <row r="19" spans="2:33" ht="8.4499999999999993" customHeight="1">
      <c r="B19" s="3"/>
      <c r="C19" s="3"/>
      <c r="D19" s="56"/>
      <c r="E19" s="56"/>
      <c r="F19" s="56"/>
      <c r="G19" s="56"/>
      <c r="H19" s="56"/>
      <c r="I19" s="56"/>
      <c r="J19" s="5"/>
      <c r="K19" s="56"/>
      <c r="L19" s="56"/>
      <c r="M19" s="56"/>
      <c r="N19" s="56"/>
      <c r="O19" s="56"/>
      <c r="P19" s="56"/>
      <c r="Q19" s="6"/>
      <c r="R19" s="56"/>
      <c r="S19" s="56"/>
      <c r="T19" s="56"/>
      <c r="U19" s="56"/>
      <c r="V19" s="56"/>
      <c r="W19" s="56"/>
      <c r="X19" s="6"/>
      <c r="Y19" s="56"/>
      <c r="Z19" s="56"/>
      <c r="AA19" s="56"/>
      <c r="AB19" s="56"/>
      <c r="AC19" s="56"/>
      <c r="AD19" s="56"/>
      <c r="AF19" s="57">
        <v>18</v>
      </c>
      <c r="AG19" s="59"/>
    </row>
    <row r="20" spans="2:33" ht="8.4499999999999993" customHeight="1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F20" s="57"/>
      <c r="AG20" s="59"/>
    </row>
    <row r="21" spans="2:33" ht="8.4499999999999993" customHeight="1">
      <c r="D21" s="9" t="s">
        <v>0</v>
      </c>
      <c r="E21" s="9"/>
      <c r="F21" s="9" t="s">
        <v>0</v>
      </c>
      <c r="G21" s="9"/>
      <c r="H21" s="9" t="s">
        <v>0</v>
      </c>
      <c r="I21" s="8"/>
      <c r="J21" s="6"/>
      <c r="K21" s="4" t="s">
        <v>0</v>
      </c>
      <c r="L21" s="4"/>
      <c r="M21" s="4"/>
      <c r="N21" s="4"/>
      <c r="O21" s="4" t="s">
        <v>0</v>
      </c>
      <c r="P21" s="4"/>
      <c r="Q21" s="6"/>
      <c r="R21" s="10"/>
      <c r="S21" s="11"/>
      <c r="T21" s="11"/>
      <c r="U21" s="11"/>
      <c r="V21" s="11"/>
      <c r="W21" s="10"/>
      <c r="X21" s="6"/>
      <c r="Y21" s="9" t="s">
        <v>0</v>
      </c>
      <c r="Z21" s="9"/>
      <c r="AA21" s="9" t="s">
        <v>0</v>
      </c>
      <c r="AB21" s="9"/>
      <c r="AC21" s="9" t="s">
        <v>0</v>
      </c>
      <c r="AD21" s="8"/>
      <c r="AE21" s="59">
        <v>42</v>
      </c>
      <c r="AG21" s="59"/>
    </row>
    <row r="22" spans="2:33" ht="3.6" customHeight="1">
      <c r="D22" s="55"/>
      <c r="E22" s="55"/>
      <c r="F22" s="55"/>
      <c r="G22" s="55"/>
      <c r="H22" s="55"/>
      <c r="I22" s="55"/>
      <c r="J22" s="6"/>
      <c r="K22" s="55"/>
      <c r="L22" s="55"/>
      <c r="M22" s="55"/>
      <c r="N22" s="55"/>
      <c r="O22" s="55"/>
      <c r="P22" s="55"/>
      <c r="Q22" s="6"/>
      <c r="R22" s="55"/>
      <c r="S22" s="55"/>
      <c r="T22" s="55"/>
      <c r="U22" s="55"/>
      <c r="V22" s="55"/>
      <c r="W22" s="55"/>
      <c r="X22" s="6"/>
      <c r="Y22" s="55"/>
      <c r="Z22" s="55"/>
      <c r="AA22" s="55"/>
      <c r="AB22" s="55"/>
      <c r="AC22" s="55"/>
      <c r="AD22" s="55"/>
      <c r="AE22" s="59"/>
      <c r="AG22" s="59"/>
    </row>
    <row r="23" spans="2:33" ht="8.4499999999999993" customHeight="1">
      <c r="D23" s="8"/>
      <c r="E23" s="9"/>
      <c r="F23" s="9"/>
      <c r="G23" s="9"/>
      <c r="H23" s="9"/>
      <c r="I23" s="8"/>
      <c r="J23" s="6"/>
      <c r="K23" s="4"/>
      <c r="L23" s="4"/>
      <c r="M23" s="4"/>
      <c r="N23" s="4"/>
      <c r="O23" s="4"/>
      <c r="P23" s="4"/>
      <c r="Q23" s="6"/>
      <c r="R23" s="21"/>
      <c r="S23" s="10" t="s">
        <v>0</v>
      </c>
      <c r="T23" s="11" t="s">
        <v>0</v>
      </c>
      <c r="U23" s="21" t="s">
        <v>0</v>
      </c>
      <c r="V23" s="10"/>
      <c r="W23" s="10"/>
      <c r="X23" s="6"/>
      <c r="Y23" s="8"/>
      <c r="Z23" s="9"/>
      <c r="AA23" s="9"/>
      <c r="AB23" s="9"/>
      <c r="AC23" s="9"/>
      <c r="AD23" s="8"/>
      <c r="AE23" s="59"/>
      <c r="AG23" s="59"/>
    </row>
    <row r="24" spans="2:33" ht="3.6" customHeight="1">
      <c r="D24" s="55"/>
      <c r="E24" s="55"/>
      <c r="F24" s="55"/>
      <c r="G24" s="55"/>
      <c r="H24" s="55"/>
      <c r="I24" s="55"/>
      <c r="J24" s="6"/>
      <c r="K24" s="55"/>
      <c r="L24" s="55"/>
      <c r="M24" s="55"/>
      <c r="N24" s="55"/>
      <c r="O24" s="55"/>
      <c r="P24" s="55"/>
      <c r="Q24" s="6"/>
      <c r="R24" s="61"/>
      <c r="S24" s="61"/>
      <c r="T24" s="61"/>
      <c r="U24" s="61"/>
      <c r="V24" s="61"/>
      <c r="W24" s="61"/>
      <c r="X24" s="6"/>
      <c r="Y24" s="55"/>
      <c r="Z24" s="55"/>
      <c r="AA24" s="55"/>
      <c r="AB24" s="55"/>
      <c r="AC24" s="55"/>
      <c r="AD24" s="55"/>
      <c r="AE24" s="59"/>
      <c r="AG24" s="59"/>
    </row>
    <row r="25" spans="2:33" ht="8.4499999999999993" customHeight="1">
      <c r="D25" s="8"/>
      <c r="E25" s="14"/>
      <c r="F25" s="14"/>
      <c r="G25" s="14"/>
      <c r="H25" s="14"/>
      <c r="I25" s="8"/>
      <c r="J25" s="6"/>
      <c r="K25" s="4"/>
      <c r="L25" s="7"/>
      <c r="M25" s="7"/>
      <c r="N25" s="7"/>
      <c r="O25" s="7"/>
      <c r="P25" s="4"/>
      <c r="Q25" s="6"/>
      <c r="R25" s="10"/>
      <c r="S25" s="20"/>
      <c r="T25" s="20"/>
      <c r="U25" s="20"/>
      <c r="V25" s="20"/>
      <c r="W25" s="10"/>
      <c r="X25" s="6"/>
      <c r="Y25" s="8"/>
      <c r="Z25" s="14"/>
      <c r="AA25" s="14"/>
      <c r="AB25" s="14"/>
      <c r="AC25" s="14"/>
      <c r="AD25" s="8"/>
      <c r="AE25" s="59"/>
      <c r="AG25" s="59"/>
    </row>
    <row r="26" spans="2:33" ht="3.6" customHeight="1">
      <c r="D26" s="55"/>
      <c r="E26" s="55"/>
      <c r="F26" s="55"/>
      <c r="G26" s="55"/>
      <c r="H26" s="55"/>
      <c r="I26" s="55"/>
      <c r="J26" s="6"/>
      <c r="K26" s="55"/>
      <c r="L26" s="55"/>
      <c r="M26" s="55"/>
      <c r="N26" s="55"/>
      <c r="O26" s="55"/>
      <c r="P26" s="55"/>
      <c r="Q26" s="6"/>
      <c r="R26" s="61"/>
      <c r="S26" s="61"/>
      <c r="T26" s="61"/>
      <c r="U26" s="61"/>
      <c r="V26" s="61"/>
      <c r="W26" s="61"/>
      <c r="X26" s="6"/>
      <c r="Y26" s="55"/>
      <c r="Z26" s="55"/>
      <c r="AA26" s="55"/>
      <c r="AB26" s="55"/>
      <c r="AC26" s="55"/>
      <c r="AD26" s="55"/>
      <c r="AE26" s="59"/>
      <c r="AG26" s="59"/>
    </row>
    <row r="27" spans="2:33" ht="8.4499999999999993" customHeight="1">
      <c r="D27" s="9" t="s">
        <v>0</v>
      </c>
      <c r="E27" s="14"/>
      <c r="F27" s="14" t="s">
        <v>0</v>
      </c>
      <c r="G27" s="14"/>
      <c r="H27" s="14" t="s">
        <v>0</v>
      </c>
      <c r="I27" s="8"/>
      <c r="J27" s="6"/>
      <c r="K27" s="4"/>
      <c r="L27" s="7"/>
      <c r="M27" s="7"/>
      <c r="N27" s="7"/>
      <c r="O27" s="7"/>
      <c r="P27" s="4"/>
      <c r="Q27" s="6"/>
      <c r="R27" s="21"/>
      <c r="S27" s="20" t="s">
        <v>0</v>
      </c>
      <c r="T27" s="15" t="s">
        <v>0</v>
      </c>
      <c r="U27" s="22" t="s">
        <v>0</v>
      </c>
      <c r="V27" s="20"/>
      <c r="W27" s="10"/>
      <c r="X27" s="6"/>
      <c r="Y27" s="9" t="s">
        <v>0</v>
      </c>
      <c r="Z27" s="14"/>
      <c r="AA27" s="14" t="s">
        <v>0</v>
      </c>
      <c r="AB27" s="14"/>
      <c r="AC27" s="14" t="s">
        <v>0</v>
      </c>
      <c r="AD27" s="8"/>
      <c r="AE27" s="59"/>
      <c r="AG27" s="59"/>
    </row>
    <row r="28" spans="2:33" ht="3.6" customHeight="1">
      <c r="D28" s="55"/>
      <c r="E28" s="55"/>
      <c r="F28" s="55"/>
      <c r="G28" s="55"/>
      <c r="H28" s="55"/>
      <c r="I28" s="55"/>
      <c r="J28" s="6"/>
      <c r="K28" s="55"/>
      <c r="L28" s="55"/>
      <c r="M28" s="55"/>
      <c r="N28" s="55"/>
      <c r="O28" s="55"/>
      <c r="P28" s="55"/>
      <c r="Q28" s="6"/>
      <c r="R28" s="61"/>
      <c r="S28" s="61"/>
      <c r="T28" s="61"/>
      <c r="U28" s="61"/>
      <c r="V28" s="61"/>
      <c r="W28" s="61"/>
      <c r="X28" s="6"/>
      <c r="Y28" s="55"/>
      <c r="Z28" s="55"/>
      <c r="AA28" s="55"/>
      <c r="AB28" s="55"/>
      <c r="AC28" s="55"/>
      <c r="AD28" s="55"/>
      <c r="AE28" s="59"/>
      <c r="AG28" s="59"/>
    </row>
    <row r="29" spans="2:33" ht="8.4499999999999993" customHeight="1">
      <c r="D29" s="8"/>
      <c r="E29" s="14"/>
      <c r="F29" s="14"/>
      <c r="G29" s="14"/>
      <c r="H29" s="14"/>
      <c r="I29" s="8"/>
      <c r="J29" s="6"/>
      <c r="K29" s="4"/>
      <c r="L29" s="7"/>
      <c r="M29" s="7"/>
      <c r="N29" s="7"/>
      <c r="O29" s="7"/>
      <c r="P29" s="4"/>
      <c r="Q29" s="6"/>
      <c r="R29" s="10"/>
      <c r="S29" s="20"/>
      <c r="T29" s="20"/>
      <c r="U29" s="20"/>
      <c r="V29" s="20"/>
      <c r="W29" s="10"/>
      <c r="X29" s="6"/>
      <c r="Y29" s="8"/>
      <c r="Z29" s="14"/>
      <c r="AA29" s="14"/>
      <c r="AB29" s="14"/>
      <c r="AC29" s="14"/>
      <c r="AD29" s="8"/>
      <c r="AE29" s="59"/>
      <c r="AG29" s="59"/>
    </row>
    <row r="30" spans="2:33" ht="3.6" customHeight="1">
      <c r="D30" s="55"/>
      <c r="E30" s="55"/>
      <c r="F30" s="55"/>
      <c r="G30" s="55"/>
      <c r="H30" s="55"/>
      <c r="I30" s="55"/>
      <c r="J30" s="6"/>
      <c r="K30" s="55"/>
      <c r="L30" s="55"/>
      <c r="M30" s="55"/>
      <c r="N30" s="55"/>
      <c r="O30" s="55"/>
      <c r="P30" s="55"/>
      <c r="Q30" s="6"/>
      <c r="R30" s="61"/>
      <c r="S30" s="61"/>
      <c r="T30" s="61"/>
      <c r="U30" s="61"/>
      <c r="V30" s="61"/>
      <c r="W30" s="61"/>
      <c r="X30" s="6"/>
      <c r="Y30" s="55"/>
      <c r="Z30" s="55"/>
      <c r="AA30" s="55"/>
      <c r="AB30" s="55"/>
      <c r="AC30" s="55"/>
      <c r="AD30" s="55"/>
      <c r="AE30" s="59"/>
      <c r="AG30" s="59"/>
    </row>
    <row r="31" spans="2:33" ht="8.4499999999999993" customHeight="1">
      <c r="D31" s="8"/>
      <c r="E31" s="9"/>
      <c r="F31" s="9"/>
      <c r="G31" s="9"/>
      <c r="H31" s="9"/>
      <c r="I31" s="8"/>
      <c r="J31" s="6"/>
      <c r="K31" s="4"/>
      <c r="L31" s="4"/>
      <c r="M31" s="4"/>
      <c r="N31" s="4"/>
      <c r="O31" s="4"/>
      <c r="P31" s="4"/>
      <c r="Q31" s="6"/>
      <c r="R31" s="21"/>
      <c r="S31" s="10" t="s">
        <v>0</v>
      </c>
      <c r="T31" s="11" t="s">
        <v>0</v>
      </c>
      <c r="U31" s="21" t="s">
        <v>0</v>
      </c>
      <c r="V31" s="10"/>
      <c r="W31" s="10"/>
      <c r="X31" s="6"/>
      <c r="Y31" s="8"/>
      <c r="Z31" s="9"/>
      <c r="AA31" s="9"/>
      <c r="AB31" s="9"/>
      <c r="AC31" s="9"/>
      <c r="AD31" s="8"/>
      <c r="AE31" s="59"/>
      <c r="AG31" s="59"/>
    </row>
    <row r="32" spans="2:33" ht="3.6" customHeight="1">
      <c r="D32" s="55"/>
      <c r="E32" s="55"/>
      <c r="F32" s="55"/>
      <c r="G32" s="55"/>
      <c r="H32" s="55"/>
      <c r="I32" s="55"/>
      <c r="J32" s="6"/>
      <c r="K32" s="55"/>
      <c r="L32" s="55"/>
      <c r="M32" s="55"/>
      <c r="N32" s="55"/>
      <c r="O32" s="55"/>
      <c r="P32" s="55"/>
      <c r="Q32" s="6"/>
      <c r="R32" s="55"/>
      <c r="S32" s="55"/>
      <c r="T32" s="55"/>
      <c r="U32" s="55"/>
      <c r="V32" s="55"/>
      <c r="W32" s="55"/>
      <c r="X32" s="6"/>
      <c r="Y32" s="55"/>
      <c r="Z32" s="55"/>
      <c r="AA32" s="55"/>
      <c r="AB32" s="55"/>
      <c r="AC32" s="55"/>
      <c r="AD32" s="55"/>
      <c r="AE32" s="59"/>
      <c r="AG32" s="59"/>
    </row>
    <row r="33" spans="4:33" ht="8.4499999999999993" customHeight="1">
      <c r="D33" s="9" t="s">
        <v>0</v>
      </c>
      <c r="E33" s="9"/>
      <c r="F33" s="9" t="s">
        <v>0</v>
      </c>
      <c r="G33" s="9"/>
      <c r="H33" s="9" t="s">
        <v>0</v>
      </c>
      <c r="I33" s="8"/>
      <c r="J33" s="6"/>
      <c r="K33" s="4" t="s">
        <v>0</v>
      </c>
      <c r="L33" s="4"/>
      <c r="M33" s="4"/>
      <c r="N33" s="4"/>
      <c r="O33" s="4" t="s">
        <v>0</v>
      </c>
      <c r="P33" s="4"/>
      <c r="Q33" s="6"/>
      <c r="R33" s="10"/>
      <c r="S33" s="11"/>
      <c r="T33" s="11"/>
      <c r="U33" s="11"/>
      <c r="V33" s="11"/>
      <c r="W33" s="10"/>
      <c r="X33" s="6"/>
      <c r="Y33" s="9" t="s">
        <v>0</v>
      </c>
      <c r="Z33" s="9"/>
      <c r="AA33" s="9" t="s">
        <v>0</v>
      </c>
      <c r="AB33" s="9"/>
      <c r="AC33" s="9" t="s">
        <v>0</v>
      </c>
      <c r="AD33" s="8"/>
      <c r="AE33" s="59"/>
      <c r="AG33" s="59"/>
    </row>
    <row r="34" spans="4:33" ht="8.4499999999999993" customHeight="1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F34" s="57">
        <v>18</v>
      </c>
      <c r="AG34" s="59"/>
    </row>
    <row r="35" spans="4:33" ht="8.4499999999999993" customHeight="1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F35" s="57"/>
      <c r="AG35" s="59"/>
    </row>
    <row r="36" spans="4:33" ht="8.4499999999999993" customHeight="1">
      <c r="D36" s="12"/>
      <c r="E36" s="13" t="s">
        <v>0</v>
      </c>
      <c r="F36" s="13"/>
      <c r="G36" s="13"/>
      <c r="H36" s="13" t="s">
        <v>0</v>
      </c>
      <c r="I36" s="12"/>
      <c r="J36" s="6"/>
      <c r="K36" s="9" t="s">
        <v>0</v>
      </c>
      <c r="L36" s="9"/>
      <c r="M36" s="9" t="s">
        <v>0</v>
      </c>
      <c r="N36" s="9"/>
      <c r="O36" s="9" t="s">
        <v>0</v>
      </c>
      <c r="P36" s="8"/>
      <c r="Q36" s="6"/>
      <c r="R36" s="4" t="s">
        <v>0</v>
      </c>
      <c r="S36" s="4"/>
      <c r="T36" s="4"/>
      <c r="U36" s="4"/>
      <c r="V36" s="4" t="s">
        <v>0</v>
      </c>
      <c r="W36" s="4"/>
      <c r="X36" s="6"/>
      <c r="Y36" s="17"/>
      <c r="Z36" s="18"/>
      <c r="AA36" s="18"/>
      <c r="AB36" s="18"/>
      <c r="AC36" s="18"/>
      <c r="AD36" s="17"/>
      <c r="AE36" s="59">
        <v>42</v>
      </c>
      <c r="AG36" s="59"/>
    </row>
    <row r="37" spans="4:33" ht="3.6" customHeight="1">
      <c r="D37" s="55"/>
      <c r="E37" s="55"/>
      <c r="F37" s="55"/>
      <c r="G37" s="55"/>
      <c r="H37" s="55"/>
      <c r="I37" s="55"/>
      <c r="J37" s="6"/>
      <c r="K37" s="55"/>
      <c r="L37" s="55"/>
      <c r="M37" s="55"/>
      <c r="N37" s="55"/>
      <c r="O37" s="55"/>
      <c r="P37" s="55"/>
      <c r="Q37" s="6"/>
      <c r="R37" s="55"/>
      <c r="S37" s="55"/>
      <c r="T37" s="55"/>
      <c r="U37" s="55"/>
      <c r="V37" s="55"/>
      <c r="W37" s="55"/>
      <c r="X37" s="6"/>
      <c r="Y37" s="55"/>
      <c r="Z37" s="55"/>
      <c r="AA37" s="55"/>
      <c r="AB37" s="55"/>
      <c r="AC37" s="55"/>
      <c r="AD37" s="55"/>
      <c r="AE37" s="59"/>
      <c r="AG37" s="59"/>
    </row>
    <row r="38" spans="4:33" ht="8.4499999999999993" customHeight="1">
      <c r="D38" s="12"/>
      <c r="E38" s="13"/>
      <c r="F38" s="13"/>
      <c r="G38" s="13"/>
      <c r="H38" s="13"/>
      <c r="I38" s="12"/>
      <c r="J38" s="6"/>
      <c r="K38" s="8"/>
      <c r="L38" s="9"/>
      <c r="M38" s="9"/>
      <c r="N38" s="9"/>
      <c r="O38" s="9"/>
      <c r="P38" s="8"/>
      <c r="Q38" s="6"/>
      <c r="R38" s="4"/>
      <c r="S38" s="4"/>
      <c r="T38" s="4"/>
      <c r="U38" s="4"/>
      <c r="V38" s="4"/>
      <c r="W38" s="4"/>
      <c r="X38" s="6"/>
      <c r="Y38" s="17"/>
      <c r="Z38" s="18" t="s">
        <v>0</v>
      </c>
      <c r="AA38" s="18"/>
      <c r="AB38" s="18"/>
      <c r="AC38" s="18" t="s">
        <v>0</v>
      </c>
      <c r="AD38" s="17"/>
      <c r="AE38" s="59"/>
      <c r="AG38" s="59"/>
    </row>
    <row r="39" spans="4:33" ht="3.6" customHeight="1">
      <c r="D39" s="55"/>
      <c r="E39" s="55"/>
      <c r="F39" s="55"/>
      <c r="G39" s="55"/>
      <c r="H39" s="55"/>
      <c r="I39" s="55"/>
      <c r="J39" s="6"/>
      <c r="K39" s="55"/>
      <c r="L39" s="55"/>
      <c r="M39" s="55"/>
      <c r="N39" s="55"/>
      <c r="O39" s="55"/>
      <c r="P39" s="55"/>
      <c r="Q39" s="6"/>
      <c r="R39" s="55"/>
      <c r="S39" s="55"/>
      <c r="T39" s="55"/>
      <c r="U39" s="55"/>
      <c r="V39" s="55"/>
      <c r="W39" s="55"/>
      <c r="X39" s="6"/>
      <c r="Y39" s="55"/>
      <c r="Z39" s="55"/>
      <c r="AA39" s="55"/>
      <c r="AB39" s="55"/>
      <c r="AC39" s="55"/>
      <c r="AD39" s="55"/>
      <c r="AE39" s="59"/>
      <c r="AG39" s="59"/>
    </row>
    <row r="40" spans="4:33" ht="8.4499999999999993" customHeight="1">
      <c r="D40" s="12"/>
      <c r="E40" s="16"/>
      <c r="F40" s="16"/>
      <c r="G40" s="16"/>
      <c r="H40" s="16"/>
      <c r="I40" s="12"/>
      <c r="J40" s="6"/>
      <c r="K40" s="8"/>
      <c r="L40" s="14"/>
      <c r="M40" s="14"/>
      <c r="N40" s="14"/>
      <c r="O40" s="14"/>
      <c r="P40" s="8"/>
      <c r="Q40" s="6"/>
      <c r="R40" s="4"/>
      <c r="S40" s="7"/>
      <c r="T40" s="7"/>
      <c r="U40" s="7"/>
      <c r="V40" s="7"/>
      <c r="W40" s="4"/>
      <c r="X40" s="6"/>
      <c r="Y40" s="17"/>
      <c r="Z40" s="19"/>
      <c r="AA40" s="19"/>
      <c r="AB40" s="19"/>
      <c r="AC40" s="19"/>
      <c r="AD40" s="17"/>
      <c r="AE40" s="59"/>
      <c r="AG40" s="59"/>
    </row>
    <row r="41" spans="4:33" ht="3.6" customHeight="1">
      <c r="D41" s="55"/>
      <c r="E41" s="55"/>
      <c r="F41" s="55"/>
      <c r="G41" s="55"/>
      <c r="H41" s="55"/>
      <c r="I41" s="55"/>
      <c r="J41" s="6"/>
      <c r="K41" s="55"/>
      <c r="L41" s="55"/>
      <c r="M41" s="55"/>
      <c r="N41" s="55"/>
      <c r="O41" s="55"/>
      <c r="P41" s="55"/>
      <c r="Q41" s="6"/>
      <c r="R41" s="55"/>
      <c r="S41" s="55"/>
      <c r="T41" s="55"/>
      <c r="U41" s="55"/>
      <c r="V41" s="55"/>
      <c r="W41" s="55"/>
      <c r="X41" s="6"/>
      <c r="Y41" s="55"/>
      <c r="Z41" s="55"/>
      <c r="AA41" s="55"/>
      <c r="AB41" s="55"/>
      <c r="AC41" s="55"/>
      <c r="AD41" s="55"/>
      <c r="AE41" s="59"/>
      <c r="AG41" s="59"/>
    </row>
    <row r="42" spans="4:33" ht="8.4499999999999993" customHeight="1">
      <c r="D42" s="12"/>
      <c r="E42" s="16" t="s">
        <v>0</v>
      </c>
      <c r="F42" s="16"/>
      <c r="G42" s="16"/>
      <c r="H42" s="16" t="s">
        <v>0</v>
      </c>
      <c r="I42" s="12"/>
      <c r="J42" s="6"/>
      <c r="K42" s="9" t="s">
        <v>0</v>
      </c>
      <c r="L42" s="14"/>
      <c r="M42" s="14" t="s">
        <v>0</v>
      </c>
      <c r="N42" s="14"/>
      <c r="O42" s="14" t="s">
        <v>0</v>
      </c>
      <c r="P42" s="8"/>
      <c r="Q42" s="6"/>
      <c r="R42" s="4"/>
      <c r="S42" s="7"/>
      <c r="T42" s="7"/>
      <c r="U42" s="7"/>
      <c r="V42" s="7"/>
      <c r="W42" s="4"/>
      <c r="X42" s="6"/>
      <c r="Y42" s="17"/>
      <c r="Z42" s="19"/>
      <c r="AA42" s="19"/>
      <c r="AB42" s="19"/>
      <c r="AC42" s="19"/>
      <c r="AD42" s="17"/>
      <c r="AE42" s="59"/>
      <c r="AG42" s="59"/>
    </row>
    <row r="43" spans="4:33" ht="3.6" customHeight="1">
      <c r="D43" s="55"/>
      <c r="E43" s="55"/>
      <c r="F43" s="55"/>
      <c r="G43" s="55"/>
      <c r="H43" s="55"/>
      <c r="I43" s="55"/>
      <c r="J43" s="6"/>
      <c r="K43" s="55"/>
      <c r="L43" s="55"/>
      <c r="M43" s="55"/>
      <c r="N43" s="55"/>
      <c r="O43" s="55"/>
      <c r="P43" s="55"/>
      <c r="Q43" s="6"/>
      <c r="R43" s="55"/>
      <c r="S43" s="55"/>
      <c r="T43" s="55"/>
      <c r="U43" s="55"/>
      <c r="V43" s="55"/>
      <c r="W43" s="55"/>
      <c r="X43" s="6"/>
      <c r="Y43" s="55"/>
      <c r="Z43" s="55"/>
      <c r="AA43" s="55"/>
      <c r="AB43" s="55"/>
      <c r="AC43" s="55"/>
      <c r="AD43" s="55"/>
      <c r="AE43" s="59"/>
      <c r="AG43" s="59"/>
    </row>
    <row r="44" spans="4:33" ht="8.4499999999999993" customHeight="1">
      <c r="D44" s="12"/>
      <c r="E44" s="16"/>
      <c r="F44" s="16"/>
      <c r="G44" s="16"/>
      <c r="H44" s="16"/>
      <c r="I44" s="12"/>
      <c r="J44" s="6"/>
      <c r="K44" s="8"/>
      <c r="L44" s="14"/>
      <c r="M44" s="14"/>
      <c r="N44" s="14"/>
      <c r="O44" s="14"/>
      <c r="P44" s="8"/>
      <c r="Q44" s="6"/>
      <c r="R44" s="4"/>
      <c r="S44" s="7"/>
      <c r="T44" s="7"/>
      <c r="U44" s="7"/>
      <c r="V44" s="7"/>
      <c r="W44" s="4"/>
      <c r="X44" s="6"/>
      <c r="Y44" s="17"/>
      <c r="Z44" s="19"/>
      <c r="AA44" s="19"/>
      <c r="AB44" s="19"/>
      <c r="AC44" s="19"/>
      <c r="AD44" s="17"/>
      <c r="AE44" s="59"/>
      <c r="AG44" s="59"/>
    </row>
    <row r="45" spans="4:33" ht="3.6" customHeight="1">
      <c r="D45" s="55"/>
      <c r="E45" s="55"/>
      <c r="F45" s="55"/>
      <c r="G45" s="55"/>
      <c r="H45" s="55"/>
      <c r="I45" s="55"/>
      <c r="J45" s="6"/>
      <c r="K45" s="55"/>
      <c r="L45" s="55"/>
      <c r="M45" s="55"/>
      <c r="N45" s="55"/>
      <c r="O45" s="55"/>
      <c r="P45" s="55"/>
      <c r="Q45" s="6"/>
      <c r="R45" s="55"/>
      <c r="S45" s="55"/>
      <c r="T45" s="55"/>
      <c r="U45" s="55"/>
      <c r="V45" s="55"/>
      <c r="W45" s="55"/>
      <c r="X45" s="6"/>
      <c r="Y45" s="55"/>
      <c r="Z45" s="55"/>
      <c r="AA45" s="55"/>
      <c r="AB45" s="55"/>
      <c r="AC45" s="55"/>
      <c r="AD45" s="55"/>
      <c r="AE45" s="59"/>
      <c r="AG45" s="59"/>
    </row>
    <row r="46" spans="4:33" ht="8.4499999999999993" customHeight="1">
      <c r="D46" s="12"/>
      <c r="E46" s="13"/>
      <c r="F46" s="13"/>
      <c r="G46" s="13"/>
      <c r="H46" s="13"/>
      <c r="I46" s="12"/>
      <c r="J46" s="6"/>
      <c r="K46" s="8"/>
      <c r="L46" s="9"/>
      <c r="M46" s="9"/>
      <c r="N46" s="9"/>
      <c r="O46" s="9"/>
      <c r="P46" s="8"/>
      <c r="Q46" s="6"/>
      <c r="R46" s="4"/>
      <c r="S46" s="4"/>
      <c r="T46" s="4"/>
      <c r="U46" s="4"/>
      <c r="V46" s="4"/>
      <c r="W46" s="4"/>
      <c r="X46" s="6"/>
      <c r="Y46" s="17"/>
      <c r="Z46" s="18"/>
      <c r="AA46" s="18"/>
      <c r="AB46" s="18"/>
      <c r="AC46" s="18"/>
      <c r="AD46" s="17"/>
      <c r="AE46" s="59"/>
      <c r="AG46" s="59"/>
    </row>
    <row r="47" spans="4:33" ht="3.6" customHeight="1">
      <c r="D47" s="55"/>
      <c r="E47" s="55"/>
      <c r="F47" s="55"/>
      <c r="G47" s="55"/>
      <c r="H47" s="55"/>
      <c r="I47" s="55"/>
      <c r="J47" s="6"/>
      <c r="K47" s="55"/>
      <c r="L47" s="55"/>
      <c r="M47" s="55"/>
      <c r="N47" s="55"/>
      <c r="O47" s="55"/>
      <c r="P47" s="55"/>
      <c r="Q47" s="6"/>
      <c r="R47" s="55"/>
      <c r="S47" s="55"/>
      <c r="T47" s="55"/>
      <c r="U47" s="55"/>
      <c r="V47" s="55"/>
      <c r="W47" s="55"/>
      <c r="X47" s="6"/>
      <c r="Y47" s="55"/>
      <c r="Z47" s="55"/>
      <c r="AA47" s="55"/>
      <c r="AB47" s="55"/>
      <c r="AC47" s="55"/>
      <c r="AD47" s="55"/>
      <c r="AE47" s="59"/>
      <c r="AG47" s="59"/>
    </row>
    <row r="48" spans="4:33" ht="8.4499999999999993" customHeight="1">
      <c r="D48" s="12"/>
      <c r="E48" s="13" t="s">
        <v>0</v>
      </c>
      <c r="F48" s="13"/>
      <c r="G48" s="13"/>
      <c r="H48" s="13" t="s">
        <v>0</v>
      </c>
      <c r="I48" s="12"/>
      <c r="J48" s="6"/>
      <c r="K48" s="9" t="s">
        <v>0</v>
      </c>
      <c r="L48" s="9"/>
      <c r="M48" s="9" t="s">
        <v>0</v>
      </c>
      <c r="N48" s="9"/>
      <c r="O48" s="9" t="s">
        <v>0</v>
      </c>
      <c r="P48" s="8"/>
      <c r="Q48" s="6"/>
      <c r="R48" s="4" t="s">
        <v>0</v>
      </c>
      <c r="S48" s="4"/>
      <c r="T48" s="4"/>
      <c r="U48" s="4"/>
      <c r="V48" s="4" t="s">
        <v>0</v>
      </c>
      <c r="W48" s="4"/>
      <c r="X48" s="6"/>
      <c r="Y48" s="17"/>
      <c r="Z48" s="18" t="s">
        <v>0</v>
      </c>
      <c r="AA48" s="18"/>
      <c r="AB48" s="18"/>
      <c r="AC48" s="18" t="s">
        <v>0</v>
      </c>
      <c r="AD48" s="17"/>
      <c r="AE48" s="59"/>
      <c r="AG48" s="59"/>
    </row>
    <row r="49" spans="4:33" ht="8.4499999999999993" customHeight="1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F49" s="57">
        <v>18</v>
      </c>
      <c r="AG49" s="59"/>
    </row>
    <row r="50" spans="4:33" ht="8.4499999999999993" customHeight="1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F50" s="57"/>
      <c r="AG50" s="59"/>
    </row>
    <row r="51" spans="4:33" ht="8.4499999999999993" customHeight="1">
      <c r="D51" s="10"/>
      <c r="E51" s="11"/>
      <c r="F51" s="11"/>
      <c r="G51" s="11"/>
      <c r="H51" s="11"/>
      <c r="I51" s="10"/>
      <c r="J51" s="6"/>
      <c r="K51" s="12"/>
      <c r="L51" s="13" t="s">
        <v>0</v>
      </c>
      <c r="M51" s="13"/>
      <c r="N51" s="13"/>
      <c r="O51" s="13" t="s">
        <v>0</v>
      </c>
      <c r="P51" s="12"/>
      <c r="Q51" s="6"/>
      <c r="R51" s="17"/>
      <c r="S51" s="18"/>
      <c r="T51" s="18"/>
      <c r="U51" s="18"/>
      <c r="V51" s="18"/>
      <c r="W51" s="17"/>
      <c r="X51" s="6"/>
      <c r="Y51" s="10"/>
      <c r="Z51" s="11"/>
      <c r="AA51" s="11"/>
      <c r="AB51" s="11"/>
      <c r="AC51" s="11"/>
      <c r="AD51" s="10"/>
      <c r="AE51" s="59">
        <v>42</v>
      </c>
      <c r="AG51" s="59"/>
    </row>
    <row r="52" spans="4:33" ht="3.6" customHeight="1">
      <c r="D52" s="55"/>
      <c r="E52" s="55"/>
      <c r="F52" s="55"/>
      <c r="G52" s="55"/>
      <c r="H52" s="55"/>
      <c r="I52" s="55"/>
      <c r="J52" s="6"/>
      <c r="K52" s="55"/>
      <c r="L52" s="55"/>
      <c r="M52" s="55"/>
      <c r="N52" s="55"/>
      <c r="O52" s="55"/>
      <c r="P52" s="55"/>
      <c r="Q52" s="6"/>
      <c r="R52" s="55"/>
      <c r="S52" s="55"/>
      <c r="T52" s="55"/>
      <c r="U52" s="55"/>
      <c r="V52" s="55"/>
      <c r="W52" s="55"/>
      <c r="X52" s="6"/>
      <c r="Y52" s="55"/>
      <c r="Z52" s="55"/>
      <c r="AA52" s="55"/>
      <c r="AB52" s="55"/>
      <c r="AC52" s="55"/>
      <c r="AD52" s="55"/>
      <c r="AE52" s="59"/>
      <c r="AG52" s="59"/>
    </row>
    <row r="53" spans="4:33" ht="8.4499999999999993" customHeight="1">
      <c r="D53" s="21"/>
      <c r="E53" s="10" t="s">
        <v>0</v>
      </c>
      <c r="F53" s="11" t="s">
        <v>0</v>
      </c>
      <c r="G53" s="21" t="s">
        <v>0</v>
      </c>
      <c r="H53" s="10"/>
      <c r="I53" s="10"/>
      <c r="J53" s="6"/>
      <c r="K53" s="12"/>
      <c r="L53" s="13"/>
      <c r="M53" s="13"/>
      <c r="N53" s="13"/>
      <c r="O53" s="13"/>
      <c r="P53" s="12"/>
      <c r="Q53" s="6"/>
      <c r="R53" s="17"/>
      <c r="S53" s="18" t="s">
        <v>0</v>
      </c>
      <c r="T53" s="18"/>
      <c r="U53" s="18"/>
      <c r="V53" s="18" t="s">
        <v>0</v>
      </c>
      <c r="W53" s="17"/>
      <c r="X53" s="6"/>
      <c r="Y53" s="21"/>
      <c r="Z53" s="10" t="s">
        <v>0</v>
      </c>
      <c r="AA53" s="11" t="s">
        <v>0</v>
      </c>
      <c r="AB53" s="21" t="s">
        <v>0</v>
      </c>
      <c r="AC53" s="10"/>
      <c r="AD53" s="10"/>
      <c r="AE53" s="59"/>
      <c r="AG53" s="59"/>
    </row>
    <row r="54" spans="4:33" ht="3.6" customHeight="1">
      <c r="D54" s="61"/>
      <c r="E54" s="61"/>
      <c r="F54" s="61"/>
      <c r="G54" s="61"/>
      <c r="H54" s="61"/>
      <c r="I54" s="61"/>
      <c r="J54" s="6"/>
      <c r="K54" s="55"/>
      <c r="L54" s="55"/>
      <c r="M54" s="55"/>
      <c r="N54" s="55"/>
      <c r="O54" s="55"/>
      <c r="P54" s="55"/>
      <c r="Q54" s="6"/>
      <c r="R54" s="55"/>
      <c r="S54" s="55"/>
      <c r="T54" s="55"/>
      <c r="U54" s="55"/>
      <c r="V54" s="55"/>
      <c r="W54" s="55"/>
      <c r="X54" s="6"/>
      <c r="Y54" s="61"/>
      <c r="Z54" s="61"/>
      <c r="AA54" s="61"/>
      <c r="AB54" s="61"/>
      <c r="AC54" s="61"/>
      <c r="AD54" s="61"/>
      <c r="AE54" s="59"/>
      <c r="AG54" s="59"/>
    </row>
    <row r="55" spans="4:33" ht="8.4499999999999993" customHeight="1">
      <c r="D55" s="10"/>
      <c r="E55" s="20"/>
      <c r="F55" s="20"/>
      <c r="G55" s="20"/>
      <c r="H55" s="20"/>
      <c r="I55" s="10"/>
      <c r="J55" s="6"/>
      <c r="K55" s="12"/>
      <c r="L55" s="16"/>
      <c r="M55" s="16"/>
      <c r="N55" s="16"/>
      <c r="O55" s="16"/>
      <c r="P55" s="12"/>
      <c r="Q55" s="6"/>
      <c r="R55" s="17"/>
      <c r="S55" s="19"/>
      <c r="T55" s="19"/>
      <c r="U55" s="19"/>
      <c r="V55" s="19"/>
      <c r="W55" s="17"/>
      <c r="X55" s="6"/>
      <c r="Y55" s="10"/>
      <c r="Z55" s="20"/>
      <c r="AA55" s="20"/>
      <c r="AB55" s="20"/>
      <c r="AC55" s="20"/>
      <c r="AD55" s="10"/>
      <c r="AE55" s="59"/>
      <c r="AG55" s="59"/>
    </row>
    <row r="56" spans="4:33" ht="3.6" customHeight="1">
      <c r="D56" s="61"/>
      <c r="E56" s="61"/>
      <c r="F56" s="61"/>
      <c r="G56" s="61"/>
      <c r="H56" s="61"/>
      <c r="I56" s="61"/>
      <c r="J56" s="6"/>
      <c r="K56" s="55"/>
      <c r="L56" s="55"/>
      <c r="M56" s="55"/>
      <c r="N56" s="55"/>
      <c r="O56" s="55"/>
      <c r="P56" s="55"/>
      <c r="Q56" s="6"/>
      <c r="R56" s="55"/>
      <c r="S56" s="55"/>
      <c r="T56" s="55"/>
      <c r="U56" s="55"/>
      <c r="V56" s="55"/>
      <c r="W56" s="55"/>
      <c r="X56" s="6"/>
      <c r="Y56" s="61"/>
      <c r="Z56" s="61"/>
      <c r="AA56" s="61"/>
      <c r="AB56" s="61"/>
      <c r="AC56" s="61"/>
      <c r="AD56" s="61"/>
      <c r="AE56" s="59"/>
      <c r="AG56" s="59"/>
    </row>
    <row r="57" spans="4:33" ht="8.4499999999999993" customHeight="1">
      <c r="D57" s="21"/>
      <c r="E57" s="20" t="s">
        <v>0</v>
      </c>
      <c r="F57" s="15" t="s">
        <v>0</v>
      </c>
      <c r="G57" s="22" t="s">
        <v>0</v>
      </c>
      <c r="H57" s="20"/>
      <c r="I57" s="10"/>
      <c r="J57" s="6"/>
      <c r="K57" s="12"/>
      <c r="L57" s="16" t="s">
        <v>0</v>
      </c>
      <c r="M57" s="16"/>
      <c r="N57" s="16"/>
      <c r="O57" s="16" t="s">
        <v>0</v>
      </c>
      <c r="P57" s="12"/>
      <c r="Q57" s="6"/>
      <c r="R57" s="17"/>
      <c r="S57" s="19"/>
      <c r="T57" s="19"/>
      <c r="U57" s="19"/>
      <c r="V57" s="19"/>
      <c r="W57" s="17"/>
      <c r="X57" s="6"/>
      <c r="Y57" s="21"/>
      <c r="Z57" s="20" t="s">
        <v>0</v>
      </c>
      <c r="AA57" s="15" t="s">
        <v>0</v>
      </c>
      <c r="AB57" s="22" t="s">
        <v>0</v>
      </c>
      <c r="AC57" s="20"/>
      <c r="AD57" s="10"/>
      <c r="AE57" s="59"/>
      <c r="AG57" s="59"/>
    </row>
    <row r="58" spans="4:33" ht="3.6" customHeight="1">
      <c r="D58" s="61"/>
      <c r="E58" s="61"/>
      <c r="F58" s="61"/>
      <c r="G58" s="61"/>
      <c r="H58" s="61"/>
      <c r="I58" s="61"/>
      <c r="J58" s="6"/>
      <c r="K58" s="55"/>
      <c r="L58" s="55"/>
      <c r="M58" s="55"/>
      <c r="N58" s="55"/>
      <c r="O58" s="55"/>
      <c r="P58" s="55"/>
      <c r="Q58" s="6"/>
      <c r="R58" s="55"/>
      <c r="S58" s="55"/>
      <c r="T58" s="55"/>
      <c r="U58" s="55"/>
      <c r="V58" s="55"/>
      <c r="W58" s="55"/>
      <c r="X58" s="6"/>
      <c r="Y58" s="61"/>
      <c r="Z58" s="61"/>
      <c r="AA58" s="61"/>
      <c r="AB58" s="61"/>
      <c r="AC58" s="61"/>
      <c r="AD58" s="61"/>
      <c r="AE58" s="59"/>
      <c r="AG58" s="59"/>
    </row>
    <row r="59" spans="4:33" ht="8.4499999999999993" customHeight="1">
      <c r="D59" s="10"/>
      <c r="E59" s="20"/>
      <c r="F59" s="20"/>
      <c r="G59" s="20"/>
      <c r="H59" s="20"/>
      <c r="I59" s="10"/>
      <c r="J59" s="6"/>
      <c r="K59" s="12"/>
      <c r="L59" s="16"/>
      <c r="M59" s="16"/>
      <c r="N59" s="16"/>
      <c r="O59" s="16"/>
      <c r="P59" s="12"/>
      <c r="Q59" s="6"/>
      <c r="R59" s="17"/>
      <c r="S59" s="19"/>
      <c r="T59" s="19"/>
      <c r="U59" s="19"/>
      <c r="V59" s="19"/>
      <c r="W59" s="17"/>
      <c r="X59" s="6"/>
      <c r="Y59" s="10"/>
      <c r="Z59" s="20"/>
      <c r="AA59" s="20"/>
      <c r="AB59" s="20"/>
      <c r="AC59" s="20"/>
      <c r="AD59" s="10"/>
      <c r="AE59" s="59"/>
      <c r="AG59" s="59"/>
    </row>
    <row r="60" spans="4:33" ht="3.6" customHeight="1">
      <c r="D60" s="61"/>
      <c r="E60" s="61"/>
      <c r="F60" s="61"/>
      <c r="G60" s="61"/>
      <c r="H60" s="61"/>
      <c r="I60" s="61"/>
      <c r="J60" s="6"/>
      <c r="K60" s="55"/>
      <c r="L60" s="55"/>
      <c r="M60" s="55"/>
      <c r="N60" s="55"/>
      <c r="O60" s="55"/>
      <c r="P60" s="55"/>
      <c r="Q60" s="6"/>
      <c r="R60" s="55"/>
      <c r="S60" s="55"/>
      <c r="T60" s="55"/>
      <c r="U60" s="55"/>
      <c r="V60" s="55"/>
      <c r="W60" s="55"/>
      <c r="X60" s="6"/>
      <c r="Y60" s="61"/>
      <c r="Z60" s="61"/>
      <c r="AA60" s="61"/>
      <c r="AB60" s="61"/>
      <c r="AC60" s="61"/>
      <c r="AD60" s="61"/>
      <c r="AE60" s="59"/>
      <c r="AG60" s="59"/>
    </row>
    <row r="61" spans="4:33" ht="8.4499999999999993" customHeight="1">
      <c r="D61" s="21"/>
      <c r="E61" s="10" t="s">
        <v>0</v>
      </c>
      <c r="F61" s="11" t="s">
        <v>0</v>
      </c>
      <c r="G61" s="21" t="s">
        <v>0</v>
      </c>
      <c r="H61" s="10"/>
      <c r="I61" s="10"/>
      <c r="J61" s="6"/>
      <c r="K61" s="12"/>
      <c r="L61" s="13"/>
      <c r="M61" s="13"/>
      <c r="N61" s="13"/>
      <c r="O61" s="13"/>
      <c r="P61" s="12"/>
      <c r="Q61" s="6"/>
      <c r="R61" s="17"/>
      <c r="S61" s="18"/>
      <c r="T61" s="18"/>
      <c r="U61" s="18"/>
      <c r="V61" s="18"/>
      <c r="W61" s="17"/>
      <c r="X61" s="6"/>
      <c r="Y61" s="21"/>
      <c r="Z61" s="10" t="s">
        <v>0</v>
      </c>
      <c r="AA61" s="11" t="s">
        <v>0</v>
      </c>
      <c r="AB61" s="21" t="s">
        <v>0</v>
      </c>
      <c r="AC61" s="10"/>
      <c r="AD61" s="10"/>
      <c r="AE61" s="59"/>
      <c r="AG61" s="59"/>
    </row>
    <row r="62" spans="4:33" ht="3.6" customHeight="1">
      <c r="D62" s="55"/>
      <c r="E62" s="55"/>
      <c r="F62" s="55"/>
      <c r="G62" s="55"/>
      <c r="H62" s="55"/>
      <c r="I62" s="55"/>
      <c r="J62" s="6"/>
      <c r="K62" s="55"/>
      <c r="L62" s="55"/>
      <c r="M62" s="55"/>
      <c r="N62" s="55"/>
      <c r="O62" s="55"/>
      <c r="P62" s="55"/>
      <c r="Q62" s="6"/>
      <c r="R62" s="55"/>
      <c r="S62" s="55"/>
      <c r="T62" s="55"/>
      <c r="U62" s="55"/>
      <c r="V62" s="55"/>
      <c r="W62" s="55"/>
      <c r="X62" s="6"/>
      <c r="Y62" s="55"/>
      <c r="Z62" s="55"/>
      <c r="AA62" s="55"/>
      <c r="AB62" s="55"/>
      <c r="AC62" s="55"/>
      <c r="AD62" s="55"/>
      <c r="AE62" s="59"/>
      <c r="AG62" s="59"/>
    </row>
    <row r="63" spans="4:33" ht="8.4499999999999993" customHeight="1">
      <c r="D63" s="10"/>
      <c r="E63" s="11"/>
      <c r="F63" s="11"/>
      <c r="G63" s="11"/>
      <c r="H63" s="11"/>
      <c r="I63" s="10"/>
      <c r="J63" s="6"/>
      <c r="K63" s="12"/>
      <c r="L63" s="13" t="s">
        <v>0</v>
      </c>
      <c r="M63" s="13"/>
      <c r="N63" s="13"/>
      <c r="O63" s="13" t="s">
        <v>0</v>
      </c>
      <c r="P63" s="12"/>
      <c r="Q63" s="6"/>
      <c r="R63" s="17"/>
      <c r="S63" s="18" t="s">
        <v>0</v>
      </c>
      <c r="T63" s="18"/>
      <c r="U63" s="18"/>
      <c r="V63" s="18" t="s">
        <v>0</v>
      </c>
      <c r="W63" s="17"/>
      <c r="X63" s="6"/>
      <c r="Y63" s="10"/>
      <c r="Z63" s="11"/>
      <c r="AA63" s="11"/>
      <c r="AB63" s="11"/>
      <c r="AC63" s="11"/>
      <c r="AD63" s="10"/>
      <c r="AE63" s="59"/>
      <c r="AG63" s="59"/>
    </row>
    <row r="64" spans="4:33" ht="8.4499999999999993" customHeight="1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F64" s="57">
        <v>18</v>
      </c>
      <c r="AG64" s="59"/>
    </row>
    <row r="65" spans="3:33" ht="8.4499999999999993" customHeight="1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F65" s="57"/>
      <c r="AG65" s="59"/>
    </row>
    <row r="66" spans="3:33" ht="8.4499999999999993" customHeight="1">
      <c r="D66" s="17"/>
      <c r="E66" s="18"/>
      <c r="F66" s="18"/>
      <c r="G66" s="18"/>
      <c r="H66" s="18"/>
      <c r="I66" s="17"/>
      <c r="J66" s="6"/>
      <c r="K66" s="10"/>
      <c r="L66" s="11"/>
      <c r="M66" s="11"/>
      <c r="N66" s="11"/>
      <c r="O66" s="11"/>
      <c r="P66" s="10"/>
      <c r="Q66" s="6"/>
      <c r="R66" s="12"/>
      <c r="S66" s="13" t="s">
        <v>0</v>
      </c>
      <c r="T66" s="13"/>
      <c r="U66" s="13"/>
      <c r="V66" s="13" t="s">
        <v>0</v>
      </c>
      <c r="W66" s="12"/>
      <c r="X66" s="6"/>
      <c r="Y66" s="4" t="s">
        <v>0</v>
      </c>
      <c r="Z66" s="4"/>
      <c r="AA66" s="4"/>
      <c r="AB66" s="4"/>
      <c r="AC66" s="4" t="s">
        <v>0</v>
      </c>
      <c r="AD66" s="4"/>
      <c r="AE66" s="59">
        <v>42</v>
      </c>
      <c r="AG66" s="59"/>
    </row>
    <row r="67" spans="3:33" ht="3.6" customHeight="1">
      <c r="D67" s="55"/>
      <c r="E67" s="55"/>
      <c r="F67" s="55"/>
      <c r="G67" s="55"/>
      <c r="H67" s="55"/>
      <c r="I67" s="55"/>
      <c r="J67" s="6"/>
      <c r="K67" s="55"/>
      <c r="L67" s="55"/>
      <c r="M67" s="55"/>
      <c r="N67" s="55"/>
      <c r="O67" s="55"/>
      <c r="P67" s="55"/>
      <c r="Q67" s="6"/>
      <c r="R67" s="55"/>
      <c r="S67" s="55"/>
      <c r="T67" s="55"/>
      <c r="U67" s="55"/>
      <c r="V67" s="55"/>
      <c r="W67" s="55"/>
      <c r="X67" s="6"/>
      <c r="Y67" s="55"/>
      <c r="Z67" s="55"/>
      <c r="AA67" s="55"/>
      <c r="AB67" s="55"/>
      <c r="AC67" s="55"/>
      <c r="AD67" s="55"/>
      <c r="AE67" s="59"/>
      <c r="AG67" s="59"/>
    </row>
    <row r="68" spans="3:33" ht="8.4499999999999993" customHeight="1">
      <c r="D68" s="17"/>
      <c r="E68" s="18" t="s">
        <v>0</v>
      </c>
      <c r="F68" s="18"/>
      <c r="G68" s="18"/>
      <c r="H68" s="18" t="s">
        <v>0</v>
      </c>
      <c r="I68" s="17"/>
      <c r="J68" s="6"/>
      <c r="K68" s="21"/>
      <c r="L68" s="10" t="s">
        <v>0</v>
      </c>
      <c r="M68" s="11" t="s">
        <v>0</v>
      </c>
      <c r="N68" s="21" t="s">
        <v>0</v>
      </c>
      <c r="O68" s="10"/>
      <c r="P68" s="10"/>
      <c r="Q68" s="6"/>
      <c r="R68" s="12"/>
      <c r="S68" s="13"/>
      <c r="T68" s="13"/>
      <c r="U68" s="13"/>
      <c r="V68" s="13"/>
      <c r="W68" s="12"/>
      <c r="X68" s="6"/>
      <c r="Y68" s="4"/>
      <c r="Z68" s="4"/>
      <c r="AA68" s="4"/>
      <c r="AB68" s="4"/>
      <c r="AC68" s="4"/>
      <c r="AD68" s="4"/>
      <c r="AE68" s="59"/>
      <c r="AG68" s="59"/>
    </row>
    <row r="69" spans="3:33" ht="3.6" customHeight="1">
      <c r="D69" s="55"/>
      <c r="E69" s="55"/>
      <c r="F69" s="55"/>
      <c r="G69" s="55"/>
      <c r="H69" s="55"/>
      <c r="I69" s="55"/>
      <c r="J69" s="6"/>
      <c r="K69" s="61"/>
      <c r="L69" s="61"/>
      <c r="M69" s="61"/>
      <c r="N69" s="61"/>
      <c r="O69" s="61"/>
      <c r="P69" s="61"/>
      <c r="Q69" s="6"/>
      <c r="R69" s="55"/>
      <c r="S69" s="55"/>
      <c r="T69" s="55"/>
      <c r="U69" s="55"/>
      <c r="V69" s="55"/>
      <c r="W69" s="55"/>
      <c r="X69" s="6"/>
      <c r="Y69" s="55"/>
      <c r="Z69" s="55"/>
      <c r="AA69" s="55"/>
      <c r="AB69" s="55"/>
      <c r="AC69" s="55"/>
      <c r="AD69" s="55"/>
      <c r="AE69" s="59"/>
      <c r="AG69" s="59"/>
    </row>
    <row r="70" spans="3:33" ht="8.4499999999999993" customHeight="1">
      <c r="D70" s="17"/>
      <c r="E70" s="19"/>
      <c r="F70" s="19"/>
      <c r="G70" s="19"/>
      <c r="H70" s="19"/>
      <c r="I70" s="17"/>
      <c r="J70" s="6"/>
      <c r="K70" s="10"/>
      <c r="L70" s="20"/>
      <c r="M70" s="20"/>
      <c r="N70" s="20"/>
      <c r="O70" s="20"/>
      <c r="P70" s="10"/>
      <c r="Q70" s="6"/>
      <c r="R70" s="12"/>
      <c r="S70" s="16"/>
      <c r="T70" s="16"/>
      <c r="U70" s="16"/>
      <c r="V70" s="16"/>
      <c r="W70" s="12"/>
      <c r="X70" s="6"/>
      <c r="Y70" s="4"/>
      <c r="Z70" s="7"/>
      <c r="AA70" s="7"/>
      <c r="AB70" s="7"/>
      <c r="AC70" s="7"/>
      <c r="AD70" s="4"/>
      <c r="AE70" s="59"/>
      <c r="AG70" s="59"/>
    </row>
    <row r="71" spans="3:33" ht="3.6" customHeight="1">
      <c r="D71" s="55"/>
      <c r="E71" s="55"/>
      <c r="F71" s="55"/>
      <c r="G71" s="55"/>
      <c r="H71" s="55"/>
      <c r="I71" s="55"/>
      <c r="J71" s="6"/>
      <c r="K71" s="61"/>
      <c r="L71" s="61"/>
      <c r="M71" s="61"/>
      <c r="N71" s="61"/>
      <c r="O71" s="61"/>
      <c r="P71" s="61"/>
      <c r="Q71" s="6"/>
      <c r="R71" s="55"/>
      <c r="S71" s="55"/>
      <c r="T71" s="55"/>
      <c r="U71" s="55"/>
      <c r="V71" s="55"/>
      <c r="W71" s="55"/>
      <c r="X71" s="6"/>
      <c r="Y71" s="55"/>
      <c r="Z71" s="55"/>
      <c r="AA71" s="55"/>
      <c r="AB71" s="55"/>
      <c r="AC71" s="55"/>
      <c r="AD71" s="55"/>
      <c r="AE71" s="59"/>
      <c r="AG71" s="59"/>
    </row>
    <row r="72" spans="3:33" ht="8.4499999999999993" customHeight="1">
      <c r="D72" s="17"/>
      <c r="E72" s="19"/>
      <c r="F72" s="19"/>
      <c r="G72" s="19"/>
      <c r="H72" s="19"/>
      <c r="I72" s="17"/>
      <c r="J72" s="6"/>
      <c r="K72" s="21"/>
      <c r="L72" s="20" t="s">
        <v>0</v>
      </c>
      <c r="M72" s="15" t="s">
        <v>0</v>
      </c>
      <c r="N72" s="22" t="s">
        <v>0</v>
      </c>
      <c r="O72" s="20"/>
      <c r="P72" s="10"/>
      <c r="Q72" s="6"/>
      <c r="R72" s="12"/>
      <c r="S72" s="16" t="s">
        <v>0</v>
      </c>
      <c r="T72" s="16"/>
      <c r="U72" s="16"/>
      <c r="V72" s="16" t="s">
        <v>0</v>
      </c>
      <c r="W72" s="12"/>
      <c r="X72" s="6"/>
      <c r="Y72" s="4"/>
      <c r="Z72" s="7"/>
      <c r="AA72" s="7"/>
      <c r="AB72" s="7"/>
      <c r="AC72" s="7"/>
      <c r="AD72" s="4"/>
      <c r="AE72" s="59"/>
      <c r="AG72" s="59"/>
    </row>
    <row r="73" spans="3:33" ht="3.6" customHeight="1">
      <c r="D73" s="55"/>
      <c r="E73" s="55"/>
      <c r="F73" s="55"/>
      <c r="G73" s="55"/>
      <c r="H73" s="55"/>
      <c r="I73" s="55"/>
      <c r="J73" s="6"/>
      <c r="K73" s="61"/>
      <c r="L73" s="61"/>
      <c r="M73" s="61"/>
      <c r="N73" s="61"/>
      <c r="O73" s="61"/>
      <c r="P73" s="61"/>
      <c r="Q73" s="6"/>
      <c r="R73" s="55"/>
      <c r="S73" s="55"/>
      <c r="T73" s="55"/>
      <c r="U73" s="55"/>
      <c r="V73" s="55"/>
      <c r="W73" s="55"/>
      <c r="X73" s="6"/>
      <c r="Y73" s="55"/>
      <c r="Z73" s="55"/>
      <c r="AA73" s="55"/>
      <c r="AB73" s="55"/>
      <c r="AC73" s="55"/>
      <c r="AD73" s="55"/>
      <c r="AE73" s="59"/>
      <c r="AG73" s="59"/>
    </row>
    <row r="74" spans="3:33" ht="8.4499999999999993" customHeight="1">
      <c r="D74" s="17"/>
      <c r="E74" s="19"/>
      <c r="F74" s="19"/>
      <c r="G74" s="19"/>
      <c r="H74" s="19"/>
      <c r="I74" s="17"/>
      <c r="J74" s="6"/>
      <c r="K74" s="10"/>
      <c r="L74" s="20"/>
      <c r="M74" s="20"/>
      <c r="N74" s="20"/>
      <c r="O74" s="20"/>
      <c r="P74" s="10"/>
      <c r="Q74" s="6"/>
      <c r="R74" s="12"/>
      <c r="S74" s="16"/>
      <c r="T74" s="16"/>
      <c r="U74" s="16"/>
      <c r="V74" s="16"/>
      <c r="W74" s="12"/>
      <c r="X74" s="6"/>
      <c r="Y74" s="4"/>
      <c r="Z74" s="7"/>
      <c r="AA74" s="7"/>
      <c r="AB74" s="7"/>
      <c r="AC74" s="7"/>
      <c r="AD74" s="4"/>
      <c r="AE74" s="59"/>
      <c r="AG74" s="59"/>
    </row>
    <row r="75" spans="3:33" ht="3.6" customHeight="1">
      <c r="D75" s="55"/>
      <c r="E75" s="55"/>
      <c r="F75" s="55"/>
      <c r="G75" s="55"/>
      <c r="H75" s="55"/>
      <c r="I75" s="55"/>
      <c r="J75" s="6"/>
      <c r="K75" s="61"/>
      <c r="L75" s="61"/>
      <c r="M75" s="61"/>
      <c r="N75" s="61"/>
      <c r="O75" s="61"/>
      <c r="P75" s="61"/>
      <c r="Q75" s="6"/>
      <c r="R75" s="55"/>
      <c r="S75" s="55"/>
      <c r="T75" s="55"/>
      <c r="U75" s="55"/>
      <c r="V75" s="55"/>
      <c r="W75" s="55"/>
      <c r="X75" s="6"/>
      <c r="Y75" s="55"/>
      <c r="Z75" s="55"/>
      <c r="AA75" s="55"/>
      <c r="AB75" s="55"/>
      <c r="AC75" s="55"/>
      <c r="AD75" s="55"/>
      <c r="AE75" s="59"/>
      <c r="AG75" s="59"/>
    </row>
    <row r="76" spans="3:33" ht="8.4499999999999993" customHeight="1">
      <c r="D76" s="17"/>
      <c r="E76" s="18"/>
      <c r="F76" s="18"/>
      <c r="G76" s="18"/>
      <c r="H76" s="18"/>
      <c r="I76" s="17"/>
      <c r="J76" s="6"/>
      <c r="K76" s="21"/>
      <c r="L76" s="10" t="s">
        <v>0</v>
      </c>
      <c r="M76" s="11" t="s">
        <v>0</v>
      </c>
      <c r="N76" s="21" t="s">
        <v>0</v>
      </c>
      <c r="O76" s="10"/>
      <c r="P76" s="10"/>
      <c r="Q76" s="6"/>
      <c r="R76" s="12"/>
      <c r="S76" s="13"/>
      <c r="T76" s="13"/>
      <c r="U76" s="13"/>
      <c r="V76" s="13"/>
      <c r="W76" s="12"/>
      <c r="X76" s="6"/>
      <c r="Y76" s="4"/>
      <c r="Z76" s="4"/>
      <c r="AA76" s="4"/>
      <c r="AB76" s="4"/>
      <c r="AC76" s="4"/>
      <c r="AD76" s="4"/>
      <c r="AE76" s="59"/>
      <c r="AG76" s="59"/>
    </row>
    <row r="77" spans="3:33" ht="3.6" customHeight="1">
      <c r="D77" s="55"/>
      <c r="E77" s="55"/>
      <c r="F77" s="55"/>
      <c r="G77" s="55"/>
      <c r="H77" s="55"/>
      <c r="I77" s="55"/>
      <c r="J77" s="6"/>
      <c r="K77" s="55"/>
      <c r="L77" s="55"/>
      <c r="M77" s="55"/>
      <c r="N77" s="55"/>
      <c r="O77" s="55"/>
      <c r="P77" s="55"/>
      <c r="Q77" s="6"/>
      <c r="R77" s="55"/>
      <c r="S77" s="55"/>
      <c r="T77" s="55"/>
      <c r="U77" s="55"/>
      <c r="V77" s="55"/>
      <c r="W77" s="55"/>
      <c r="X77" s="6"/>
      <c r="Y77" s="55"/>
      <c r="Z77" s="55"/>
      <c r="AA77" s="55"/>
      <c r="AB77" s="55"/>
      <c r="AC77" s="55"/>
      <c r="AD77" s="55"/>
      <c r="AE77" s="59"/>
      <c r="AG77" s="59"/>
    </row>
    <row r="78" spans="3:33" ht="8.4499999999999993" customHeight="1">
      <c r="D78" s="17"/>
      <c r="E78" s="18" t="s">
        <v>0</v>
      </c>
      <c r="F78" s="18"/>
      <c r="G78" s="18"/>
      <c r="H78" s="18" t="s">
        <v>0</v>
      </c>
      <c r="I78" s="17"/>
      <c r="J78" s="6"/>
      <c r="K78" s="10"/>
      <c r="L78" s="11"/>
      <c r="M78" s="11"/>
      <c r="N78" s="11"/>
      <c r="O78" s="11"/>
      <c r="P78" s="10"/>
      <c r="Q78" s="6"/>
      <c r="R78" s="12"/>
      <c r="S78" s="13" t="s">
        <v>0</v>
      </c>
      <c r="T78" s="13"/>
      <c r="U78" s="13"/>
      <c r="V78" s="13" t="s">
        <v>0</v>
      </c>
      <c r="W78" s="12"/>
      <c r="X78" s="6"/>
      <c r="Y78" s="4" t="s">
        <v>0</v>
      </c>
      <c r="Z78" s="4"/>
      <c r="AA78" s="4"/>
      <c r="AB78" s="4"/>
      <c r="AC78" s="4" t="s">
        <v>0</v>
      </c>
      <c r="AD78" s="4"/>
      <c r="AE78" s="59"/>
      <c r="AG78" s="59"/>
    </row>
    <row r="79" spans="3:33" ht="18">
      <c r="C79" s="35">
        <v>6</v>
      </c>
      <c r="D79" s="60">
        <v>60</v>
      </c>
      <c r="E79" s="60"/>
      <c r="F79" s="60"/>
      <c r="G79" s="60"/>
      <c r="H79" s="60"/>
      <c r="I79" s="60"/>
      <c r="J79" s="35">
        <v>6</v>
      </c>
      <c r="K79" s="60">
        <v>60</v>
      </c>
      <c r="L79" s="60"/>
      <c r="M79" s="60"/>
      <c r="N79" s="60"/>
      <c r="O79" s="60"/>
      <c r="P79" s="60"/>
      <c r="Q79" s="35">
        <v>6</v>
      </c>
      <c r="R79" s="60">
        <v>60</v>
      </c>
      <c r="S79" s="60"/>
      <c r="T79" s="60"/>
      <c r="U79" s="60"/>
      <c r="V79" s="60"/>
      <c r="W79" s="60"/>
      <c r="X79" s="35">
        <v>6</v>
      </c>
      <c r="Y79" s="60">
        <v>60</v>
      </c>
      <c r="Z79" s="60"/>
      <c r="AA79" s="60"/>
      <c r="AB79" s="60"/>
      <c r="AC79" s="60"/>
      <c r="AD79" s="60"/>
    </row>
    <row r="80" spans="3:33">
      <c r="D80" s="58">
        <v>264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2" spans="4:22">
      <c r="D82" s="17"/>
      <c r="E82" s="1" t="s">
        <v>2</v>
      </c>
    </row>
    <row r="83" spans="4:22">
      <c r="D83" s="4"/>
      <c r="E83" s="1" t="s">
        <v>3</v>
      </c>
    </row>
    <row r="84" spans="4:22">
      <c r="D84" s="10"/>
      <c r="E84" s="1" t="s">
        <v>4</v>
      </c>
      <c r="V84" s="1">
        <v>40</v>
      </c>
    </row>
    <row r="85" spans="4:22">
      <c r="D85" s="8"/>
      <c r="E85" s="1" t="s">
        <v>5</v>
      </c>
      <c r="V85" s="1">
        <f>20*V84</f>
        <v>800</v>
      </c>
    </row>
    <row r="86" spans="4:22">
      <c r="D86" s="12"/>
      <c r="E86" s="1" t="s">
        <v>6</v>
      </c>
    </row>
    <row r="87" spans="4:22">
      <c r="E87" s="1" t="s">
        <v>7</v>
      </c>
    </row>
    <row r="88" spans="4:22">
      <c r="E88" s="1" t="s">
        <v>8</v>
      </c>
    </row>
    <row r="89" spans="4:22">
      <c r="D89" s="27"/>
      <c r="E89" s="1" t="s">
        <v>9</v>
      </c>
    </row>
  </sheetData>
  <mergeCells count="143">
    <mergeCell ref="AF19:AF20"/>
    <mergeCell ref="AF34:AF35"/>
    <mergeCell ref="AF49:AF50"/>
    <mergeCell ref="AF64:AF65"/>
    <mergeCell ref="D80:AD80"/>
    <mergeCell ref="AG6:AG78"/>
    <mergeCell ref="D79:I79"/>
    <mergeCell ref="K79:P79"/>
    <mergeCell ref="R79:W79"/>
    <mergeCell ref="Y79:AD79"/>
    <mergeCell ref="AE6:AE18"/>
    <mergeCell ref="AE21:AE33"/>
    <mergeCell ref="AE36:AE48"/>
    <mergeCell ref="AE51:AE63"/>
    <mergeCell ref="AE66:AE78"/>
    <mergeCell ref="D75:I75"/>
    <mergeCell ref="K75:P75"/>
    <mergeCell ref="R75:W75"/>
    <mergeCell ref="Y75:AD75"/>
    <mergeCell ref="D77:I77"/>
    <mergeCell ref="K77:P77"/>
    <mergeCell ref="R77:W77"/>
    <mergeCell ref="Y77:AD77"/>
    <mergeCell ref="D71:I71"/>
    <mergeCell ref="K71:P71"/>
    <mergeCell ref="R71:W71"/>
    <mergeCell ref="Y71:AD71"/>
    <mergeCell ref="D73:I73"/>
    <mergeCell ref="K73:P73"/>
    <mergeCell ref="R73:W73"/>
    <mergeCell ref="Y73:AD73"/>
    <mergeCell ref="D67:I67"/>
    <mergeCell ref="K67:P67"/>
    <mergeCell ref="R67:W67"/>
    <mergeCell ref="Y67:AD67"/>
    <mergeCell ref="D69:I69"/>
    <mergeCell ref="K69:P69"/>
    <mergeCell ref="R69:W69"/>
    <mergeCell ref="Y69:AD69"/>
    <mergeCell ref="D60:I60"/>
    <mergeCell ref="K60:P60"/>
    <mergeCell ref="R60:W60"/>
    <mergeCell ref="Y60:AD60"/>
    <mergeCell ref="D62:I62"/>
    <mergeCell ref="K62:P62"/>
    <mergeCell ref="R62:W62"/>
    <mergeCell ref="Y62:AD62"/>
    <mergeCell ref="D56:I56"/>
    <mergeCell ref="K56:P56"/>
    <mergeCell ref="R56:W56"/>
    <mergeCell ref="Y56:AD56"/>
    <mergeCell ref="D58:I58"/>
    <mergeCell ref="K58:P58"/>
    <mergeCell ref="R58:W58"/>
    <mergeCell ref="Y58:AD58"/>
    <mergeCell ref="D52:I52"/>
    <mergeCell ref="K52:P52"/>
    <mergeCell ref="R52:W52"/>
    <mergeCell ref="Y52:AD52"/>
    <mergeCell ref="D54:I54"/>
    <mergeCell ref="K54:P54"/>
    <mergeCell ref="R54:W54"/>
    <mergeCell ref="Y54:AD54"/>
    <mergeCell ref="D45:I45"/>
    <mergeCell ref="K45:P45"/>
    <mergeCell ref="R45:W45"/>
    <mergeCell ref="Y45:AD45"/>
    <mergeCell ref="D47:I47"/>
    <mergeCell ref="K47:P47"/>
    <mergeCell ref="R47:W47"/>
    <mergeCell ref="Y47:AD47"/>
    <mergeCell ref="D41:I41"/>
    <mergeCell ref="K41:P41"/>
    <mergeCell ref="R41:W41"/>
    <mergeCell ref="Y41:AD41"/>
    <mergeCell ref="D43:I43"/>
    <mergeCell ref="K43:P43"/>
    <mergeCell ref="R43:W43"/>
    <mergeCell ref="Y43:AD43"/>
    <mergeCell ref="D37:I37"/>
    <mergeCell ref="K37:P37"/>
    <mergeCell ref="R37:W37"/>
    <mergeCell ref="Y37:AD37"/>
    <mergeCell ref="D39:I39"/>
    <mergeCell ref="K39:P39"/>
    <mergeCell ref="R39:W39"/>
    <mergeCell ref="Y39:AD39"/>
    <mergeCell ref="D30:I30"/>
    <mergeCell ref="K30:P30"/>
    <mergeCell ref="R30:W30"/>
    <mergeCell ref="Y30:AD30"/>
    <mergeCell ref="D32:I32"/>
    <mergeCell ref="K32:P32"/>
    <mergeCell ref="R32:W32"/>
    <mergeCell ref="Y32:AD32"/>
    <mergeCell ref="D26:I26"/>
    <mergeCell ref="K26:P26"/>
    <mergeCell ref="R26:W26"/>
    <mergeCell ref="Y26:AD26"/>
    <mergeCell ref="D28:I28"/>
    <mergeCell ref="K28:P28"/>
    <mergeCell ref="R28:W28"/>
    <mergeCell ref="Y28:AD28"/>
    <mergeCell ref="D22:I22"/>
    <mergeCell ref="K22:P22"/>
    <mergeCell ref="R22:W22"/>
    <mergeCell ref="Y22:AD22"/>
    <mergeCell ref="D24:I24"/>
    <mergeCell ref="K24:P24"/>
    <mergeCell ref="R24:W24"/>
    <mergeCell ref="Y24:AD24"/>
    <mergeCell ref="D17:I17"/>
    <mergeCell ref="K17:P17"/>
    <mergeCell ref="R17:W17"/>
    <mergeCell ref="Y17:AD17"/>
    <mergeCell ref="D19:I19"/>
    <mergeCell ref="K19:P19"/>
    <mergeCell ref="R19:W19"/>
    <mergeCell ref="Y19:AD19"/>
    <mergeCell ref="D15:I15"/>
    <mergeCell ref="K15:P15"/>
    <mergeCell ref="R15:W15"/>
    <mergeCell ref="Y15:AD15"/>
    <mergeCell ref="D9:I9"/>
    <mergeCell ref="K9:P9"/>
    <mergeCell ref="R9:W9"/>
    <mergeCell ref="Y9:AD9"/>
    <mergeCell ref="D11:I11"/>
    <mergeCell ref="K11:P11"/>
    <mergeCell ref="R11:W11"/>
    <mergeCell ref="Y11:AD11"/>
    <mergeCell ref="F4:G4"/>
    <mergeCell ref="M4:N4"/>
    <mergeCell ref="T4:U4"/>
    <mergeCell ref="AA4:AB4"/>
    <mergeCell ref="D7:I7"/>
    <mergeCell ref="K7:P7"/>
    <mergeCell ref="R7:W7"/>
    <mergeCell ref="Y7:AD7"/>
    <mergeCell ref="D13:I13"/>
    <mergeCell ref="K13:P13"/>
    <mergeCell ref="R13:W13"/>
    <mergeCell ref="Y13:AD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>
      <selection activeCell="I18" sqref="I18"/>
    </sheetView>
  </sheetViews>
  <sheetFormatPr defaultRowHeight="14.45"/>
  <cols>
    <col min="2" max="2" width="27.85546875" bestFit="1" customWidth="1"/>
    <col min="3" max="3" width="11.42578125" bestFit="1" customWidth="1"/>
    <col min="4" max="4" width="18.140625" bestFit="1" customWidth="1"/>
    <col min="5" max="5" width="27.85546875" bestFit="1" customWidth="1"/>
    <col min="6" max="6" width="6.5703125" bestFit="1" customWidth="1"/>
    <col min="7" max="7" width="8.5703125" customWidth="1"/>
    <col min="8" max="8" width="22.5703125" customWidth="1"/>
    <col min="9" max="9" width="12.140625" customWidth="1"/>
    <col min="10" max="11" width="4.42578125" bestFit="1" customWidth="1"/>
    <col min="12" max="12" width="4.7109375" bestFit="1" customWidth="1"/>
    <col min="13" max="13" width="14" customWidth="1"/>
    <col min="14" max="14" width="7.5703125" customWidth="1"/>
    <col min="15" max="15" width="13.42578125" customWidth="1"/>
  </cols>
  <sheetData>
    <row r="1" spans="1:15">
      <c r="A1" s="24" t="s">
        <v>10</v>
      </c>
    </row>
    <row r="2" spans="1:15">
      <c r="A2" s="24"/>
    </row>
    <row r="3" spans="1:15">
      <c r="B3" t="s">
        <v>11</v>
      </c>
      <c r="C3" t="s">
        <v>12</v>
      </c>
    </row>
    <row r="4" spans="1:15">
      <c r="B4" t="s">
        <v>13</v>
      </c>
      <c r="C4" t="s">
        <v>12</v>
      </c>
    </row>
    <row r="5" spans="1:15" ht="15" thickBot="1"/>
    <row r="6" spans="1:15" ht="29.45" thickTop="1" thickBot="1">
      <c r="B6" s="24" t="s">
        <v>14</v>
      </c>
      <c r="C6" s="25"/>
      <c r="E6" s="6" t="s">
        <v>15</v>
      </c>
      <c r="F6" s="25"/>
      <c r="H6" s="51" t="s">
        <v>16</v>
      </c>
      <c r="I6" s="52" t="s">
        <v>17</v>
      </c>
      <c r="J6" s="52" t="s">
        <v>18</v>
      </c>
      <c r="K6" s="52" t="s">
        <v>19</v>
      </c>
      <c r="L6" s="52" t="s">
        <v>20</v>
      </c>
      <c r="M6" s="52" t="s">
        <v>21</v>
      </c>
      <c r="N6" s="52" t="s">
        <v>22</v>
      </c>
      <c r="O6" s="53" t="s">
        <v>23</v>
      </c>
    </row>
    <row r="7" spans="1:15" ht="15" thickTop="1">
      <c r="B7" t="s">
        <v>17</v>
      </c>
      <c r="C7" s="25" t="s">
        <v>24</v>
      </c>
      <c r="E7" t="s">
        <v>17</v>
      </c>
      <c r="F7" s="25" t="s">
        <v>25</v>
      </c>
      <c r="H7" s="46" t="s">
        <v>14</v>
      </c>
      <c r="I7" s="47" t="s">
        <v>24</v>
      </c>
      <c r="J7" s="48">
        <v>0.95</v>
      </c>
      <c r="K7" s="48">
        <v>0.92</v>
      </c>
      <c r="L7" s="47">
        <v>1.1000000000000001</v>
      </c>
      <c r="M7" s="47">
        <v>0.128</v>
      </c>
      <c r="N7" s="49">
        <f>(0.128*25*18)/96.3</f>
        <v>0.59813084112149539</v>
      </c>
      <c r="O7" s="50">
        <v>30</v>
      </c>
    </row>
    <row r="8" spans="1:15">
      <c r="B8" t="s">
        <v>18</v>
      </c>
      <c r="C8" s="26">
        <v>0.95</v>
      </c>
      <c r="E8" t="s">
        <v>18</v>
      </c>
      <c r="F8" s="26">
        <v>0.87319999999999998</v>
      </c>
      <c r="H8" s="36" t="s">
        <v>26</v>
      </c>
      <c r="I8" s="37" t="s">
        <v>27</v>
      </c>
      <c r="J8" s="38">
        <v>0.74399999999999999</v>
      </c>
      <c r="K8" s="38">
        <v>0.69430000000000003</v>
      </c>
      <c r="L8" s="37">
        <v>1.83</v>
      </c>
      <c r="M8" s="37">
        <v>0.13</v>
      </c>
      <c r="N8" s="39">
        <v>0.3</v>
      </c>
      <c r="O8" s="40">
        <v>29</v>
      </c>
    </row>
    <row r="9" spans="1:15">
      <c r="B9" t="s">
        <v>19</v>
      </c>
      <c r="C9" s="26">
        <v>0.92</v>
      </c>
      <c r="E9" t="s">
        <v>19</v>
      </c>
      <c r="F9" s="26">
        <v>0.79859999999999998</v>
      </c>
      <c r="H9" s="36" t="s">
        <v>15</v>
      </c>
      <c r="I9" s="37" t="s">
        <v>25</v>
      </c>
      <c r="J9" s="38">
        <v>0.87319999999999998</v>
      </c>
      <c r="K9" s="38">
        <v>0.79859999999999998</v>
      </c>
      <c r="L9" s="37">
        <v>1.37</v>
      </c>
      <c r="M9" s="37">
        <v>0.12</v>
      </c>
      <c r="N9" s="39">
        <v>0.5</v>
      </c>
      <c r="O9" s="40">
        <v>20</v>
      </c>
    </row>
    <row r="10" spans="1:15">
      <c r="B10" t="s">
        <v>20</v>
      </c>
      <c r="C10" s="25">
        <v>1.1000000000000001</v>
      </c>
      <c r="E10" t="s">
        <v>20</v>
      </c>
      <c r="F10" s="25">
        <v>1.37</v>
      </c>
      <c r="H10" s="36" t="s">
        <v>28</v>
      </c>
      <c r="I10" s="37" t="s">
        <v>29</v>
      </c>
      <c r="J10" s="38">
        <v>0.87370000000000003</v>
      </c>
      <c r="K10" s="38">
        <v>0.88270000000000004</v>
      </c>
      <c r="L10" s="37">
        <v>1.1499999999999999</v>
      </c>
      <c r="M10" s="37">
        <v>0.13</v>
      </c>
      <c r="N10" s="39">
        <v>1.23</v>
      </c>
      <c r="O10" s="40">
        <v>25</v>
      </c>
    </row>
    <row r="11" spans="1:15" ht="15" thickBot="1">
      <c r="B11" t="s">
        <v>30</v>
      </c>
      <c r="C11" s="25">
        <v>0.128</v>
      </c>
      <c r="E11" t="s">
        <v>30</v>
      </c>
      <c r="F11" s="25">
        <v>0.12</v>
      </c>
      <c r="H11" s="41" t="s">
        <v>31</v>
      </c>
      <c r="I11" s="42" t="s">
        <v>32</v>
      </c>
      <c r="J11" s="43">
        <v>0.83960000000000001</v>
      </c>
      <c r="K11" s="43">
        <v>0.75429999999999997</v>
      </c>
      <c r="L11" s="42">
        <v>1.55</v>
      </c>
      <c r="M11" s="42">
        <v>0.25</v>
      </c>
      <c r="N11" s="44">
        <v>3.78</v>
      </c>
      <c r="O11" s="45">
        <v>45</v>
      </c>
    </row>
    <row r="12" spans="1:15" ht="15" thickTop="1">
      <c r="B12" t="s">
        <v>33</v>
      </c>
      <c r="C12" s="23">
        <f>(0.128*25*18)/96.3</f>
        <v>0.59813084112149539</v>
      </c>
      <c r="E12" t="s">
        <v>33</v>
      </c>
      <c r="F12" s="23">
        <v>0.5</v>
      </c>
    </row>
    <row r="13" spans="1:15">
      <c r="B13" t="s">
        <v>23</v>
      </c>
      <c r="C13" s="25">
        <v>30</v>
      </c>
      <c r="E13" t="s">
        <v>23</v>
      </c>
      <c r="F13" s="25">
        <v>20</v>
      </c>
    </row>
    <row r="15" spans="1:15">
      <c r="B15" s="24" t="s">
        <v>26</v>
      </c>
      <c r="E15" s="6" t="s">
        <v>28</v>
      </c>
      <c r="F15" s="25"/>
    </row>
    <row r="16" spans="1:15">
      <c r="B16" t="s">
        <v>17</v>
      </c>
      <c r="C16" s="25" t="s">
        <v>27</v>
      </c>
      <c r="E16" t="s">
        <v>17</v>
      </c>
      <c r="F16" s="25" t="s">
        <v>29</v>
      </c>
    </row>
    <row r="17" spans="2:6">
      <c r="B17" t="s">
        <v>18</v>
      </c>
      <c r="C17" s="26">
        <v>0.74399999999999999</v>
      </c>
      <c r="E17" t="s">
        <v>18</v>
      </c>
      <c r="F17" s="26">
        <v>0.87370000000000003</v>
      </c>
    </row>
    <row r="18" spans="2:6">
      <c r="B18" t="s">
        <v>19</v>
      </c>
      <c r="C18" s="26">
        <v>0.69430000000000003</v>
      </c>
      <c r="E18" t="s">
        <v>19</v>
      </c>
      <c r="F18" s="26">
        <v>0.88270000000000004</v>
      </c>
    </row>
    <row r="19" spans="2:6">
      <c r="B19" t="s">
        <v>20</v>
      </c>
      <c r="C19" s="25">
        <v>1.83</v>
      </c>
      <c r="E19" t="s">
        <v>20</v>
      </c>
      <c r="F19" s="25">
        <v>1.1499999999999999</v>
      </c>
    </row>
    <row r="20" spans="2:6">
      <c r="B20" t="s">
        <v>30</v>
      </c>
      <c r="C20" s="25">
        <v>0.13</v>
      </c>
      <c r="E20" t="s">
        <v>30</v>
      </c>
      <c r="F20" s="25">
        <v>0.13</v>
      </c>
    </row>
    <row r="21" spans="2:6">
      <c r="B21" t="s">
        <v>33</v>
      </c>
      <c r="C21" s="23">
        <v>0.3</v>
      </c>
      <c r="E21" t="s">
        <v>33</v>
      </c>
      <c r="F21" s="23">
        <v>1.23</v>
      </c>
    </row>
    <row r="22" spans="2:6">
      <c r="B22" t="s">
        <v>23</v>
      </c>
      <c r="C22" s="25">
        <v>29</v>
      </c>
      <c r="E22" t="s">
        <v>23</v>
      </c>
      <c r="F22" s="25">
        <v>25</v>
      </c>
    </row>
    <row r="24" spans="2:6">
      <c r="B24" s="24" t="s">
        <v>31</v>
      </c>
    </row>
    <row r="25" spans="2:6">
      <c r="B25" t="s">
        <v>17</v>
      </c>
      <c r="C25" s="25" t="s">
        <v>32</v>
      </c>
    </row>
    <row r="26" spans="2:6">
      <c r="B26" t="s">
        <v>18</v>
      </c>
      <c r="C26" s="26">
        <v>0.83960000000000001</v>
      </c>
    </row>
    <row r="27" spans="2:6">
      <c r="B27" t="s">
        <v>19</v>
      </c>
      <c r="C27" s="26">
        <v>0.75429999999999997</v>
      </c>
    </row>
    <row r="28" spans="2:6">
      <c r="B28" t="s">
        <v>20</v>
      </c>
      <c r="C28" s="25">
        <v>1.55</v>
      </c>
    </row>
    <row r="29" spans="2:6">
      <c r="B29" t="s">
        <v>30</v>
      </c>
      <c r="C29" s="25">
        <v>0.25</v>
      </c>
    </row>
    <row r="30" spans="2:6">
      <c r="B30" t="s">
        <v>33</v>
      </c>
      <c r="C30" s="23">
        <v>3.78</v>
      </c>
    </row>
    <row r="31" spans="2:6">
      <c r="B31" t="s">
        <v>23</v>
      </c>
      <c r="C31" s="25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6B8F-1344-4887-8121-A06C58956BC2}">
  <dimension ref="B2:P36"/>
  <sheetViews>
    <sheetView topLeftCell="D4" workbookViewId="0">
      <selection activeCell="O30" sqref="O30"/>
    </sheetView>
  </sheetViews>
  <sheetFormatPr defaultRowHeight="14.45"/>
  <cols>
    <col min="3" max="3" width="27.85546875" bestFit="1" customWidth="1"/>
    <col min="4" max="4" width="6.5703125" bestFit="1" customWidth="1"/>
    <col min="6" max="6" width="27.85546875" bestFit="1" customWidth="1"/>
    <col min="7" max="7" width="6.5703125" bestFit="1" customWidth="1"/>
    <col min="11" max="11" width="31" customWidth="1"/>
    <col min="12" max="12" width="25" customWidth="1"/>
    <col min="13" max="13" width="23.7109375" customWidth="1"/>
    <col min="14" max="14" width="18.42578125" customWidth="1"/>
    <col min="15" max="15" width="24.28515625" customWidth="1"/>
    <col min="16" max="16" width="15.5703125" customWidth="1"/>
  </cols>
  <sheetData>
    <row r="2" spans="2:16">
      <c r="B2" s="24" t="s">
        <v>10</v>
      </c>
    </row>
    <row r="3" spans="2:16">
      <c r="B3" s="24"/>
    </row>
    <row r="4" spans="2:16">
      <c r="C4" t="s">
        <v>11</v>
      </c>
      <c r="D4" t="s">
        <v>12</v>
      </c>
    </row>
    <row r="5" spans="2:16">
      <c r="C5" t="s">
        <v>13</v>
      </c>
      <c r="D5" t="s">
        <v>12</v>
      </c>
    </row>
    <row r="6" spans="2:16">
      <c r="K6" s="29" t="s">
        <v>34</v>
      </c>
      <c r="L6" s="29" t="s">
        <v>35</v>
      </c>
      <c r="M6" s="30" t="s">
        <v>15</v>
      </c>
      <c r="N6" s="29" t="s">
        <v>26</v>
      </c>
      <c r="O6" s="30" t="s">
        <v>28</v>
      </c>
      <c r="P6" s="29" t="s">
        <v>31</v>
      </c>
    </row>
    <row r="7" spans="2:16">
      <c r="C7" s="24" t="s">
        <v>35</v>
      </c>
      <c r="D7" s="25"/>
      <c r="F7" s="6" t="s">
        <v>15</v>
      </c>
      <c r="G7" s="25"/>
      <c r="K7" s="31" t="s">
        <v>17</v>
      </c>
      <c r="L7" s="32" t="s">
        <v>24</v>
      </c>
      <c r="M7" s="32" t="s">
        <v>25</v>
      </c>
      <c r="N7" s="32" t="s">
        <v>27</v>
      </c>
      <c r="O7" s="32" t="s">
        <v>29</v>
      </c>
      <c r="P7" s="32" t="s">
        <v>32</v>
      </c>
    </row>
    <row r="8" spans="2:16">
      <c r="C8" t="s">
        <v>17</v>
      </c>
      <c r="D8" s="25" t="s">
        <v>24</v>
      </c>
      <c r="F8" t="s">
        <v>17</v>
      </c>
      <c r="G8" s="25" t="s">
        <v>25</v>
      </c>
      <c r="K8" s="31" t="s">
        <v>18</v>
      </c>
      <c r="L8" s="33">
        <v>0.95</v>
      </c>
      <c r="M8" s="33">
        <v>0.87319999999999998</v>
      </c>
      <c r="N8" s="33">
        <v>0.74399999999999999</v>
      </c>
      <c r="O8" s="33">
        <v>0.87370000000000003</v>
      </c>
      <c r="P8" s="33">
        <v>0.83960000000000001</v>
      </c>
    </row>
    <row r="9" spans="2:16">
      <c r="C9" t="s">
        <v>18</v>
      </c>
      <c r="D9" s="26">
        <v>0.95</v>
      </c>
      <c r="F9" t="s">
        <v>18</v>
      </c>
      <c r="G9" s="26">
        <v>0.87319999999999998</v>
      </c>
      <c r="K9" s="31" t="s">
        <v>19</v>
      </c>
      <c r="L9" s="33">
        <v>0.92</v>
      </c>
      <c r="M9" s="33">
        <v>0.79859999999999998</v>
      </c>
      <c r="N9" s="33">
        <v>0.69430000000000003</v>
      </c>
      <c r="O9" s="33">
        <v>0.88270000000000004</v>
      </c>
      <c r="P9" s="33">
        <v>0.75429999999999997</v>
      </c>
    </row>
    <row r="10" spans="2:16">
      <c r="C10" t="s">
        <v>19</v>
      </c>
      <c r="D10" s="26">
        <v>0.92</v>
      </c>
      <c r="F10" t="s">
        <v>19</v>
      </c>
      <c r="G10" s="26">
        <v>0.79859999999999998</v>
      </c>
      <c r="K10" s="31" t="s">
        <v>20</v>
      </c>
      <c r="L10" s="32">
        <v>1.1000000000000001</v>
      </c>
      <c r="M10" s="32">
        <v>1.37</v>
      </c>
      <c r="N10" s="32">
        <v>1.83</v>
      </c>
      <c r="O10" s="32">
        <v>1.1499999999999999</v>
      </c>
      <c r="P10" s="32">
        <v>1.55</v>
      </c>
    </row>
    <row r="11" spans="2:16">
      <c r="C11" t="s">
        <v>20</v>
      </c>
      <c r="D11" s="25">
        <v>1.1000000000000001</v>
      </c>
      <c r="F11" t="s">
        <v>20</v>
      </c>
      <c r="G11" s="25">
        <v>1.37</v>
      </c>
      <c r="K11" s="31" t="s">
        <v>30</v>
      </c>
      <c r="L11" s="32">
        <v>0.128</v>
      </c>
      <c r="M11" s="32">
        <v>0.12</v>
      </c>
      <c r="N11" s="32">
        <v>0.13</v>
      </c>
      <c r="O11" s="32">
        <v>0.13</v>
      </c>
      <c r="P11" s="32">
        <v>0.25</v>
      </c>
    </row>
    <row r="12" spans="2:16">
      <c r="C12" t="s">
        <v>30</v>
      </c>
      <c r="D12" s="25">
        <v>0.128</v>
      </c>
      <c r="F12" t="s">
        <v>30</v>
      </c>
      <c r="G12" s="25">
        <v>0.12</v>
      </c>
      <c r="K12" s="31" t="s">
        <v>33</v>
      </c>
      <c r="L12" s="34">
        <f>(0.128*25*18)/96.3</f>
        <v>0.59813084112149539</v>
      </c>
      <c r="M12" s="34">
        <v>0.5</v>
      </c>
      <c r="N12" s="34">
        <v>0.3</v>
      </c>
      <c r="O12" s="34">
        <v>1.23</v>
      </c>
      <c r="P12" s="34">
        <v>3.78</v>
      </c>
    </row>
    <row r="13" spans="2:16">
      <c r="C13" t="s">
        <v>33</v>
      </c>
      <c r="D13" s="23">
        <f>(0.128*25*18)/96.3</f>
        <v>0.59813084112149539</v>
      </c>
      <c r="F13" t="s">
        <v>33</v>
      </c>
      <c r="G13" s="23">
        <v>0.5</v>
      </c>
      <c r="K13" s="31" t="s">
        <v>23</v>
      </c>
      <c r="L13" s="32">
        <v>30</v>
      </c>
      <c r="M13" s="32">
        <v>20</v>
      </c>
      <c r="N13" s="32">
        <v>29</v>
      </c>
      <c r="O13" s="32">
        <v>25</v>
      </c>
      <c r="P13" s="32">
        <v>45</v>
      </c>
    </row>
    <row r="14" spans="2:16">
      <c r="C14" t="s">
        <v>23</v>
      </c>
      <c r="D14" s="25">
        <v>30</v>
      </c>
      <c r="F14" t="s">
        <v>23</v>
      </c>
      <c r="G14" s="25">
        <v>20</v>
      </c>
    </row>
    <row r="15" spans="2:16">
      <c r="K15" s="24"/>
    </row>
    <row r="16" spans="2:16">
      <c r="C16" s="24" t="s">
        <v>26</v>
      </c>
      <c r="F16" s="6" t="s">
        <v>28</v>
      </c>
      <c r="G16" s="25"/>
      <c r="K16" t="s">
        <v>17</v>
      </c>
    </row>
    <row r="17" spans="3:15">
      <c r="C17" t="s">
        <v>17</v>
      </c>
      <c r="D17" s="25" t="s">
        <v>27</v>
      </c>
      <c r="F17" t="s">
        <v>17</v>
      </c>
      <c r="G17" s="25" t="s">
        <v>29</v>
      </c>
      <c r="K17" t="s">
        <v>18</v>
      </c>
    </row>
    <row r="18" spans="3:15">
      <c r="C18" t="s">
        <v>18</v>
      </c>
      <c r="D18" s="26">
        <v>0.74399999999999999</v>
      </c>
      <c r="F18" t="s">
        <v>18</v>
      </c>
      <c r="G18" s="26">
        <v>0.87370000000000003</v>
      </c>
      <c r="K18" t="s">
        <v>19</v>
      </c>
    </row>
    <row r="19" spans="3:15">
      <c r="C19" t="s">
        <v>19</v>
      </c>
      <c r="D19" s="26">
        <v>0.69430000000000003</v>
      </c>
      <c r="F19" t="s">
        <v>19</v>
      </c>
      <c r="G19" s="26">
        <v>0.88270000000000004</v>
      </c>
      <c r="K19" t="s">
        <v>20</v>
      </c>
    </row>
    <row r="20" spans="3:15">
      <c r="C20" t="s">
        <v>20</v>
      </c>
      <c r="D20" s="25">
        <v>1.83</v>
      </c>
      <c r="F20" t="s">
        <v>20</v>
      </c>
      <c r="G20" s="25">
        <v>1.1499999999999999</v>
      </c>
      <c r="K20" t="s">
        <v>30</v>
      </c>
    </row>
    <row r="21" spans="3:15">
      <c r="C21" t="s">
        <v>30</v>
      </c>
      <c r="D21" s="25">
        <v>0.13</v>
      </c>
      <c r="F21" t="s">
        <v>30</v>
      </c>
      <c r="G21" s="25">
        <v>0.13</v>
      </c>
      <c r="K21" t="s">
        <v>33</v>
      </c>
    </row>
    <row r="22" spans="3:15">
      <c r="C22" t="s">
        <v>33</v>
      </c>
      <c r="D22" s="23">
        <v>0.3</v>
      </c>
      <c r="F22" t="s">
        <v>33</v>
      </c>
      <c r="G22" s="23">
        <v>1.23</v>
      </c>
      <c r="K22" t="s">
        <v>23</v>
      </c>
    </row>
    <row r="23" spans="3:15">
      <c r="C23" t="s">
        <v>23</v>
      </c>
      <c r="D23" s="25">
        <v>29</v>
      </c>
      <c r="F23" t="s">
        <v>23</v>
      </c>
      <c r="G23" s="25">
        <v>25</v>
      </c>
    </row>
    <row r="24" spans="3:15">
      <c r="O24">
        <f>190/30</f>
        <v>6.333333333333333</v>
      </c>
    </row>
    <row r="25" spans="3:15">
      <c r="C25" s="24" t="s">
        <v>31</v>
      </c>
      <c r="K25" t="s">
        <v>17</v>
      </c>
      <c r="O25">
        <f>190*6</f>
        <v>1140</v>
      </c>
    </row>
    <row r="26" spans="3:15">
      <c r="C26" t="s">
        <v>17</v>
      </c>
      <c r="D26" s="25" t="s">
        <v>32</v>
      </c>
      <c r="K26" t="s">
        <v>18</v>
      </c>
      <c r="O26">
        <f>7*6</f>
        <v>42</v>
      </c>
    </row>
    <row r="27" spans="3:15">
      <c r="C27" t="s">
        <v>18</v>
      </c>
      <c r="D27" s="26">
        <v>0.83960000000000001</v>
      </c>
      <c r="K27" t="s">
        <v>19</v>
      </c>
      <c r="O27">
        <f>250/30</f>
        <v>8.3333333333333339</v>
      </c>
    </row>
    <row r="28" spans="3:15">
      <c r="C28" t="s">
        <v>19</v>
      </c>
      <c r="D28" s="26">
        <v>0.75429999999999997</v>
      </c>
      <c r="K28" t="s">
        <v>20</v>
      </c>
      <c r="O28">
        <f>250/40</f>
        <v>6.25</v>
      </c>
    </row>
    <row r="29" spans="3:15">
      <c r="C29" t="s">
        <v>20</v>
      </c>
      <c r="D29" s="25">
        <v>1.55</v>
      </c>
      <c r="K29" t="s">
        <v>30</v>
      </c>
      <c r="O29">
        <f>190/40</f>
        <v>4.75</v>
      </c>
    </row>
    <row r="30" spans="3:15">
      <c r="C30" t="s">
        <v>30</v>
      </c>
      <c r="D30" s="25">
        <v>0.25</v>
      </c>
      <c r="K30" t="s">
        <v>33</v>
      </c>
    </row>
    <row r="31" spans="3:15">
      <c r="C31" t="s">
        <v>33</v>
      </c>
      <c r="D31" s="23">
        <v>3.78</v>
      </c>
      <c r="K31" t="s">
        <v>23</v>
      </c>
    </row>
    <row r="32" spans="3:15">
      <c r="C32" t="s">
        <v>23</v>
      </c>
      <c r="D32" s="25">
        <v>45</v>
      </c>
    </row>
    <row r="36" spans="10:10">
      <c r="J36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32B3DA076684CB833E5B89C854B81" ma:contentTypeVersion="12" ma:contentTypeDescription="Create a new document." ma:contentTypeScope="" ma:versionID="de048f81639702336ac87add8617dadc">
  <xsd:schema xmlns:xsd="http://www.w3.org/2001/XMLSchema" xmlns:xs="http://www.w3.org/2001/XMLSchema" xmlns:p="http://schemas.microsoft.com/office/2006/metadata/properties" xmlns:ns2="1498909f-b8aa-4adc-b068-9f9acf6db208" xmlns:ns3="820f8882-ade8-4aa5-bc64-b8857b7a9e1b" targetNamespace="http://schemas.microsoft.com/office/2006/metadata/properties" ma:root="true" ma:fieldsID="e7711ca60665599b7525f8105ddfb57e" ns2:_="" ns3:_="">
    <xsd:import namespace="1498909f-b8aa-4adc-b068-9f9acf6db208"/>
    <xsd:import namespace="820f8882-ade8-4aa5-bc64-b8857b7a9e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8909f-b8aa-4adc-b068-9f9acf6db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f8882-ade8-4aa5-bc64-b8857b7a9e1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415651-831c-4408-b31c-bff2d15312f3}" ma:internalName="TaxCatchAll" ma:showField="CatchAllData" ma:web="820f8882-ade8-4aa5-bc64-b8857b7a9e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98909f-b8aa-4adc-b068-9f9acf6db208">
      <Terms xmlns="http://schemas.microsoft.com/office/infopath/2007/PartnerControls"/>
    </lcf76f155ced4ddcb4097134ff3c332f>
    <TaxCatchAll xmlns="820f8882-ade8-4aa5-bc64-b8857b7a9e1b" xsi:nil="true"/>
  </documentManagement>
</p:properties>
</file>

<file path=customXml/itemProps1.xml><?xml version="1.0" encoding="utf-8"?>
<ds:datastoreItem xmlns:ds="http://schemas.openxmlformats.org/officeDocument/2006/customXml" ds:itemID="{26FEE457-6565-487D-ACCB-E3B3C3B301A1}"/>
</file>

<file path=customXml/itemProps2.xml><?xml version="1.0" encoding="utf-8"?>
<ds:datastoreItem xmlns:ds="http://schemas.openxmlformats.org/officeDocument/2006/customXml" ds:itemID="{358AE972-B805-41E6-B7A6-AC0E87D35666}"/>
</file>

<file path=customXml/itemProps3.xml><?xml version="1.0" encoding="utf-8"?>
<ds:datastoreItem xmlns:ds="http://schemas.openxmlformats.org/officeDocument/2006/customXml" ds:itemID="{52EB92D5-257F-4FDC-A312-7B24B7221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VS</dc:creator>
  <cp:keywords/>
  <dc:description/>
  <cp:lastModifiedBy>Das, Susanta</cp:lastModifiedBy>
  <cp:revision/>
  <dcterms:created xsi:type="dcterms:W3CDTF">2021-08-31T16:11:39Z</dcterms:created>
  <dcterms:modified xsi:type="dcterms:W3CDTF">2025-04-16T17:43:02Z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0x01010044632B3DA076684CB833E5B89C854B81</vt:lpwstr>
  </property>
</Properties>
</file>